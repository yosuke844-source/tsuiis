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mments4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3.xml" ContentType="application/vnd.openxmlformats-officedocument.drawing+xml"/>
  <Override PartName="/xl/drawings/vmlDrawing3.vml" ContentType="application/vnd.openxmlformats-officedocument.vmlDrawing"/>
  <Override PartName="/xl/drawings/drawing4.xml" ContentType="application/vnd.openxmlformats-officedocument.drawing+xml"/>
  <Override PartName="/xl/drawings/drawing2.xml" ContentType="application/vnd.openxmlformats-officedocument.drawing+xml"/>
  <Override PartName="/xl/drawings/vmlDrawing4.vml" ContentType="application/vnd.openxmlformats-officedocument.vmlDrawing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見積" sheetId="1" state="visible" r:id="rId3"/>
    <sheet name="使い方" sheetId="2" state="visible" r:id="rId4"/>
    <sheet name="レート" sheetId="3" state="visible" r:id="rId5"/>
    <sheet name="商品" sheetId="4" state="visible" r:id="rId6"/>
    <sheet name="オプション" sheetId="5" state="visible" r:id="rId7"/>
  </sheets>
  <definedNames>
    <definedName function="false" hidden="false" localSheetId="4" name="_xlnm.Print_Titles" vbProcedure="false">オプション!$1:$3</definedName>
    <definedName function="false" hidden="true" localSheetId="4" name="_xlnm._FilterDatabase" vbProcedure="false">オプション!$A$3:$I$13</definedName>
    <definedName function="false" hidden="false" localSheetId="2" name="_xlnm.Print_Titles" vbProcedure="false">レート!$1:$1</definedName>
    <definedName function="false" hidden="true" localSheetId="2" name="_xlnm._FilterDatabase" vbProcedure="false">レート!$A$7:$E$9</definedName>
    <definedName function="false" hidden="false" localSheetId="0" name="_xlnm.Print_Titles" vbProcedure="false">見積!$1:$4</definedName>
    <definedName function="false" hidden="true" localSheetId="0" name="_xlnm._FilterDatabase" vbProcedure="false">見積!$A$4:$F$37</definedName>
    <definedName function="false" hidden="false" localSheetId="1" name="_xlnm.Print_Titles" vbProcedure="false">使い方!$1:$2</definedName>
    <definedName function="false" hidden="false" localSheetId="3" name="_xlnm.Print_Titles" vbProcedure="false">商品!$1:$3</definedName>
    <definedName function="false" hidden="true" localSheetId="3" name="_xlnm._FilterDatabase" vbProcedure="false">商品!$A$3:$K$11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Tsuii's draft</author>
  </authors>
  <commentList>
    <comment ref="C5" authorId="0">
      <text>
        <r>
          <rPr>
            <sz val="10"/>
            <rFont val="Linux Libertine G"/>
            <family val="2"/>
          </rPr>
          <t xml:space="preserve">星形ビーズ シルバーは</t>
        </r>
        <r>
          <rPr>
            <sz val="10"/>
            <rFont val="Arial"/>
            <family val="2"/>
          </rPr>
          <t xml:space="preserve">70cm</t>
        </r>
        <r>
          <rPr>
            <sz val="10"/>
            <rFont val="Linux Libertine G"/>
            <family val="2"/>
          </rPr>
          <t xml:space="preserve">分の</t>
        </r>
        <r>
          <rPr>
            <sz val="10"/>
            <rFont val="Arial"/>
            <family val="2"/>
          </rPr>
          <t xml:space="preserve">128</t>
        </r>
        <r>
          <rPr>
            <sz val="10"/>
            <rFont val="Linux Libertine G"/>
            <family val="2"/>
          </rPr>
          <t xml:space="preserve">個です。星型ビーズ ゴールドは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Linux Libertine G"/>
            <family val="2"/>
          </rPr>
          <t xml:space="preserve">個 </t>
        </r>
        <r>
          <rPr>
            <sz val="10"/>
            <rFont val="Arial"/>
            <family val="2"/>
          </rPr>
          <t xml:space="preserve">¥60,000</t>
        </r>
        <r>
          <rPr>
            <sz val="10"/>
            <rFont val="Linux Libertine G"/>
            <family val="2"/>
          </rPr>
          <t xml:space="preserve">、ネックレスに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Linux Libertine G"/>
            <family val="2"/>
          </rPr>
          <t xml:space="preserve">個。金額は数量</t>
        </r>
        <r>
          <rPr>
            <sz val="10"/>
            <rFont val="Arial"/>
            <family val="2"/>
          </rPr>
          <t xml:space="preserve">×</t>
        </r>
        <r>
          <rPr>
            <sz val="10"/>
            <rFont val="Linux Libertine G"/>
            <family val="2"/>
          </rPr>
          <t xml:space="preserve">単価です。</t>
        </r>
      </text>
    </comment>
    <comment ref="E5" authorId="0">
      <text>
        <r>
          <rPr>
            <sz val="10"/>
            <rFont val="Linux Libertine G"/>
            <family val="2"/>
          </rPr>
          <t xml:space="preserve">税は会話に書かれていないので足していません。見積合計は各区分の合計を足しています。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Tsuii's draft</author>
  </authors>
  <commentList>
    <comment ref="B5" authorId="0">
      <text>
        <r>
          <rPr>
            <sz val="10"/>
            <rFont val="Linux Libertine G"/>
            <family val="2"/>
          </rPr>
          <t xml:space="preserve">入力セルです。日本の標準税率の下書きとして </t>
        </r>
        <r>
          <rPr>
            <sz val="10"/>
            <rFont val="Arial"/>
            <family val="2"/>
          </rPr>
          <t xml:space="preserve">10% </t>
        </r>
        <r>
          <rPr>
            <sz val="10"/>
            <rFont val="Linux Libertine G"/>
            <family val="2"/>
          </rPr>
          <t xml:space="preserve">を入れています。</t>
        </r>
      </text>
    </comment>
    <comment ref="B8" authorId="0">
      <text>
        <r>
          <rPr>
            <sz val="10"/>
            <rFont val="Linux Libertine G"/>
            <family val="2"/>
          </rPr>
          <t xml:space="preserve">販売価格に使うシルバーの円</t>
        </r>
        <r>
          <rPr>
            <sz val="10"/>
            <rFont val="Arial"/>
            <family val="2"/>
          </rPr>
          <t xml:space="preserve">/g</t>
        </r>
        <r>
          <rPr>
            <sz val="10"/>
            <rFont val="Linux Libertine G"/>
            <family val="2"/>
          </rPr>
          <t xml:space="preserve">です。サンプルとして参照価格を切り上げた数字を入れています。三井さんの実レートに置き換えてください。</t>
        </r>
      </text>
    </comment>
    <comment ref="B9" authorId="0">
      <text>
        <r>
          <rPr>
            <sz val="10"/>
            <rFont val="Linux Libertine G"/>
            <family val="2"/>
          </rPr>
          <t xml:space="preserve">販売価格に使うゴールドの円</t>
        </r>
        <r>
          <rPr>
            <sz val="10"/>
            <rFont val="Arial"/>
            <family val="2"/>
          </rPr>
          <t xml:space="preserve">/g</t>
        </r>
        <r>
          <rPr>
            <sz val="10"/>
            <rFont val="Linux Libertine G"/>
            <family val="2"/>
          </rPr>
          <t xml:space="preserve">です。サンプルです。三井さんの実レートに置き換えてください。</t>
        </r>
      </text>
    </comment>
    <comment ref="C8" authorId="0">
      <text>
        <r>
          <rPr>
            <sz val="10"/>
            <rFont val="Linux Libertine G"/>
            <family val="2"/>
          </rPr>
          <t xml:space="preserve">比較用の参照価格です。</t>
        </r>
        <r>
          <rPr>
            <sz val="10"/>
            <rFont val="Arial"/>
            <family val="2"/>
          </rPr>
          <t xml:space="preserve">2026-09-29 </t>
        </r>
        <r>
          <rPr>
            <sz val="10"/>
            <rFont val="Linux Libertine G"/>
            <family val="2"/>
          </rPr>
          <t xml:space="preserve">時点、</t>
        </r>
        <r>
          <rPr>
            <sz val="10"/>
            <rFont val="Arial"/>
            <family val="2"/>
          </rPr>
          <t xml:space="preserve">Gold-API </t>
        </r>
        <r>
          <rPr>
            <sz val="10"/>
            <rFont val="Linux Libertine G"/>
            <family val="2"/>
          </rPr>
          <t xml:space="preserve">シルバー </t>
        </r>
        <r>
          <rPr>
            <sz val="10"/>
            <rFont val="Arial"/>
            <family val="2"/>
          </rPr>
          <t xml:space="preserve">USD/oz 60.736 × USDJPY 156.88 ÷ 31.1034768g</t>
        </r>
        <r>
          <rPr>
            <sz val="10"/>
            <rFont val="Linux Libertine G"/>
            <family val="2"/>
          </rPr>
          <t xml:space="preserve">。販売価格には使いません。</t>
        </r>
      </text>
    </comment>
    <comment ref="C9" authorId="0">
      <text>
        <r>
          <rPr>
            <sz val="10"/>
            <rFont val="Linux Libertine G"/>
            <family val="2"/>
          </rPr>
          <t xml:space="preserve">比較用の参照価格です。</t>
        </r>
        <r>
          <rPr>
            <sz val="10"/>
            <rFont val="Arial"/>
            <family val="2"/>
          </rPr>
          <t xml:space="preserve">2026-09-29 </t>
        </r>
        <r>
          <rPr>
            <sz val="10"/>
            <rFont val="Linux Libertine G"/>
            <family val="2"/>
          </rPr>
          <t xml:space="preserve">時点、</t>
        </r>
        <r>
          <rPr>
            <sz val="10"/>
            <rFont val="Arial"/>
            <family val="2"/>
          </rPr>
          <t xml:space="preserve">Gold-API </t>
        </r>
        <r>
          <rPr>
            <sz val="10"/>
            <rFont val="Linux Libertine G"/>
            <family val="2"/>
          </rPr>
          <t xml:space="preserve">ゴールド </t>
        </r>
        <r>
          <rPr>
            <sz val="10"/>
            <rFont val="Arial"/>
            <family val="2"/>
          </rPr>
          <t xml:space="preserve">USD/oz 4130.200195 × USDJPY 156.88 ÷ 31.1034768g</t>
        </r>
        <r>
          <rPr>
            <sz val="10"/>
            <rFont val="Linux Libertine G"/>
            <family val="2"/>
          </rPr>
          <t xml:space="preserve">。販売価格には使いません。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Tsuii's draft</author>
  </authors>
  <commentList>
    <comment ref="E4" authorId="0">
      <text>
        <r>
          <rPr>
            <sz val="10"/>
            <rFont val="Linux Libertine G"/>
            <family val="2"/>
          </rPr>
          <t xml:space="preserve">グラム重量の入力です。サンプル値なので、実測に置き換えてください。価格はこの列と工賃と手入力レートから計算されます。</t>
        </r>
      </text>
    </comment>
    <comment ref="F4" authorId="0">
      <text>
        <r>
          <rPr>
            <sz val="10"/>
            <rFont val="Linux Libertine G"/>
            <family val="2"/>
          </rPr>
          <t xml:space="preserve">工賃（作り賃）の入力です。サンプルです。地金代には含まれません。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Tsuii's draft</author>
  </authors>
  <commentList>
    <comment ref="D4" authorId="0">
      <text>
        <r>
          <rPr>
            <sz val="10"/>
            <rFont val="Linux Libertine G"/>
            <family val="2"/>
          </rPr>
          <t xml:space="preserve">同じ地金を足すときだけグラムを入れます。地金が違うオプションは </t>
        </r>
        <r>
          <rPr>
            <sz val="10"/>
            <rFont val="Arial"/>
            <family val="2"/>
          </rPr>
          <t xml:space="preserve">0 </t>
        </r>
        <r>
          <rPr>
            <sz val="10"/>
            <rFont val="Linux Libertine G"/>
            <family val="2"/>
          </rPr>
          <t xml:space="preserve">にして、追加固定円に金額を入れてください。</t>
        </r>
      </text>
    </comment>
  </commentList>
</comments>
</file>

<file path=xl/sharedStrings.xml><?xml version="1.0" encoding="utf-8"?>
<sst xmlns="http://schemas.openxmlformats.org/spreadsheetml/2006/main" count="169" uniqueCount="136">
  <si>
    <r>
      <rPr>
        <b val="true"/>
        <sz val="16"/>
        <color rgb="FF1C1916"/>
        <rFont val="Arial"/>
        <family val="0"/>
        <charset val="1"/>
      </rPr>
      <t xml:space="preserve">Tsuii's </t>
    </r>
    <r>
      <rPr>
        <b val="true"/>
        <sz val="16"/>
        <color rgb="FF1C1916"/>
        <rFont val="Linux Libertine G"/>
        <family val="2"/>
      </rPr>
      <t xml:space="preserve">見積（前回の会話）</t>
    </r>
  </si>
  <si>
    <r>
      <rPr>
        <sz val="9"/>
        <color rgb="FF5C564E"/>
        <rFont val="Linux Libertine G"/>
        <family val="2"/>
      </rPr>
      <t xml:space="preserve">金額は三井さんから受け取った内訳のままです。税の記載はないので、</t>
    </r>
    <r>
      <rPr>
        <sz val="9"/>
        <color rgb="FF5C564E"/>
        <rFont val="Arial"/>
        <family val="0"/>
        <charset val="1"/>
      </rPr>
      <t xml:space="preserve">10%</t>
    </r>
    <r>
      <rPr>
        <sz val="9"/>
        <color rgb="FF5C564E"/>
        <rFont val="Linux Libertine G"/>
        <family val="2"/>
      </rPr>
      <t xml:space="preserve">は足していません。黄色の数量と単価を変えると金額が変わります。</t>
    </r>
  </si>
  <si>
    <t xml:space="preserve">区分</t>
  </si>
  <si>
    <t xml:space="preserve">項目</t>
  </si>
  <si>
    <t xml:space="preserve">数量</t>
  </si>
  <si>
    <r>
      <rPr>
        <b val="true"/>
        <sz val="11"/>
        <color rgb="FFFFFFFF"/>
        <rFont val="Linux Libertine G"/>
        <family val="2"/>
      </rPr>
      <t xml:space="preserve">単価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Linux Libertine G"/>
        <family val="2"/>
      </rPr>
      <t xml:space="preserve">円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</si>
  <si>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Linux Libertine G"/>
        <family val="2"/>
      </rPr>
      <t xml:space="preserve">金額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Linux Libertine G"/>
        <family val="2"/>
      </rPr>
      <t xml:space="preserve">円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</si>
  <si>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メモ</t>
  </si>
  <si>
    <t xml:space="preserve">フェザーリング</t>
  </si>
  <si>
    <t xml:space="preserve">フェザーリング合計</t>
  </si>
  <si>
    <t xml:space="preserve">ネックレス</t>
  </si>
  <si>
    <t xml:space="preserve">星形ビーズ シルバー</t>
  </si>
  <si>
    <r>
      <rPr>
        <b val="true"/>
        <sz val="11"/>
        <color rgb="FF0000FF"/>
        <rFont val="Arial"/>
        <family val="0"/>
        <charset val="1"/>
      </rPr>
      <t xml:space="preserve">70cm</t>
    </r>
    <r>
      <rPr>
        <b val="true"/>
        <sz val="11"/>
        <color rgb="FF0000FF"/>
        <rFont val="Linux Libertine G"/>
        <family val="2"/>
      </rPr>
      <t xml:space="preserve">分</t>
    </r>
    <r>
      <rPr>
        <b val="true"/>
        <sz val="11"/>
        <color rgb="FF0000FF"/>
        <rFont val="Arial"/>
        <family val="0"/>
        <charset val="1"/>
      </rPr>
      <t xml:space="preserve">128</t>
    </r>
    <r>
      <rPr>
        <b val="true"/>
        <sz val="11"/>
        <color rgb="FF0000FF"/>
        <rFont val="Linux Libertine G"/>
        <family val="2"/>
      </rPr>
      <t xml:space="preserve">個</t>
    </r>
  </si>
  <si>
    <t xml:space="preserve">星型ビーズ ゴールド</t>
  </si>
  <si>
    <r>
      <rPr>
        <b val="true"/>
        <sz val="11"/>
        <color rgb="FF0000FF"/>
        <rFont val="Linux Libertine G"/>
        <family val="2"/>
      </rPr>
      <t xml:space="preserve">星形ビーズ </t>
    </r>
    <r>
      <rPr>
        <b val="true"/>
        <sz val="11"/>
        <color rgb="FF0000FF"/>
        <rFont val="Arial"/>
        <family val="0"/>
        <charset val="1"/>
      </rPr>
      <t xml:space="preserve">K18</t>
    </r>
    <r>
      <rPr>
        <b val="true"/>
        <sz val="11"/>
        <color rgb="FF0000FF"/>
        <rFont val="Linux Libertine G"/>
        <family val="2"/>
      </rPr>
      <t xml:space="preserve">グリーン</t>
    </r>
  </si>
  <si>
    <r>
      <rPr>
        <b val="true"/>
        <sz val="11"/>
        <color rgb="FF0000FF"/>
        <rFont val="Linux Libertine G"/>
        <family val="2"/>
      </rPr>
      <t xml:space="preserve">丸ビーズ</t>
    </r>
    <r>
      <rPr>
        <b val="true"/>
        <sz val="11"/>
        <color rgb="FF0000FF"/>
        <rFont val="Arial"/>
        <family val="0"/>
        <charset val="1"/>
      </rPr>
      <t xml:space="preserve">XL</t>
    </r>
  </si>
  <si>
    <t xml:space="preserve">革紐</t>
  </si>
  <si>
    <t xml:space="preserve">ホイール旧型星金</t>
  </si>
  <si>
    <t xml:space="preserve">フェザーフック</t>
  </si>
  <si>
    <t xml:space="preserve">アンティークビーズ血赤</t>
  </si>
  <si>
    <r>
      <rPr>
        <b val="true"/>
        <sz val="11"/>
        <color rgb="FF0000FF"/>
        <rFont val="Arial"/>
        <family val="0"/>
        <charset val="1"/>
      </rPr>
      <t xml:space="preserve">7</t>
    </r>
    <r>
      <rPr>
        <b val="true"/>
        <sz val="11"/>
        <color rgb="FF0000FF"/>
        <rFont val="Linux Libertine G"/>
        <family val="2"/>
      </rPr>
      <t xml:space="preserve">層シェブロンビーズ</t>
    </r>
  </si>
  <si>
    <r>
      <rPr>
        <b val="true"/>
        <sz val="11"/>
        <color rgb="FF0000FF"/>
        <rFont val="Arial"/>
        <family val="0"/>
        <charset val="1"/>
      </rPr>
      <t xml:space="preserve">K18</t>
    </r>
    <r>
      <rPr>
        <b val="true"/>
        <sz val="11"/>
        <color rgb="FF0000FF"/>
        <rFont val="Linux Libertine G"/>
        <family val="2"/>
      </rPr>
      <t xml:space="preserve">ピンク先金フェザー</t>
    </r>
  </si>
  <si>
    <t xml:space="preserve">先端シルバー星付け</t>
  </si>
  <si>
    <t xml:space="preserve">フェザー取付ホイール</t>
  </si>
  <si>
    <t xml:space="preserve">シルバーメタル</t>
  </si>
  <si>
    <r>
      <rPr>
        <b val="true"/>
        <sz val="11"/>
        <color rgb="FF0000FF"/>
        <rFont val="Linux Libertine G"/>
        <family val="2"/>
      </rPr>
      <t xml:space="preserve">丸ビーズ</t>
    </r>
    <r>
      <rPr>
        <b val="true"/>
        <sz val="11"/>
        <color rgb="FF0000FF"/>
        <rFont val="Arial"/>
        <family val="0"/>
        <charset val="1"/>
      </rPr>
      <t xml:space="preserve">S</t>
    </r>
  </si>
  <si>
    <t xml:space="preserve">アンティーク赤丸ビーズ</t>
  </si>
  <si>
    <r>
      <rPr>
        <b val="true"/>
        <sz val="11"/>
        <color rgb="FF0000FF"/>
        <rFont val="Arial"/>
        <family val="0"/>
        <charset val="1"/>
      </rPr>
      <t xml:space="preserve">4</t>
    </r>
    <r>
      <rPr>
        <b val="true"/>
        <sz val="11"/>
        <color rgb="FF0000FF"/>
        <rFont val="Linux Libertine G"/>
        <family val="2"/>
      </rPr>
      <t xml:space="preserve">層シェブロン</t>
    </r>
  </si>
  <si>
    <t xml:space="preserve">ネックレス合計</t>
  </si>
  <si>
    <t xml:space="preserve">ブレス</t>
  </si>
  <si>
    <t xml:space="preserve">星ビーズ シルバー</t>
  </si>
  <si>
    <r>
      <rPr>
        <b val="true"/>
        <sz val="11"/>
        <color rgb="FF0000FF"/>
        <rFont val="Linux Libertine G"/>
        <family val="2"/>
      </rPr>
      <t xml:space="preserve">星ビーズ </t>
    </r>
    <r>
      <rPr>
        <b val="true"/>
        <sz val="11"/>
        <color rgb="FF0000FF"/>
        <rFont val="Arial"/>
        <family val="0"/>
        <charset val="1"/>
      </rPr>
      <t xml:space="preserve">K18</t>
    </r>
    <r>
      <rPr>
        <b val="true"/>
        <sz val="11"/>
        <color rgb="FF0000FF"/>
        <rFont val="Linux Libertine G"/>
        <family val="2"/>
      </rPr>
      <t xml:space="preserve">ビーズ</t>
    </r>
  </si>
  <si>
    <r>
      <rPr>
        <b val="true"/>
        <sz val="11"/>
        <color rgb="FF0000FF"/>
        <rFont val="Linux Libertine G"/>
        <family val="2"/>
      </rPr>
      <t xml:space="preserve">丸ビーズ</t>
    </r>
    <r>
      <rPr>
        <b val="true"/>
        <sz val="11"/>
        <color rgb="FF0000FF"/>
        <rFont val="Arial"/>
        <family val="0"/>
        <charset val="1"/>
      </rPr>
      <t xml:space="preserve">L</t>
    </r>
  </si>
  <si>
    <t xml:space="preserve">アンティーク血赤ビーズ</t>
  </si>
  <si>
    <t xml:space="preserve">ブレス合計</t>
  </si>
  <si>
    <t xml:space="preserve">バンダナ コンチョ</t>
  </si>
  <si>
    <t xml:space="preserve">コンチョ</t>
  </si>
  <si>
    <t xml:space="preserve">バンダナ コンチョ合計</t>
  </si>
  <si>
    <t xml:space="preserve">見積合計</t>
  </si>
  <si>
    <r>
      <rPr>
        <b val="true"/>
        <sz val="16"/>
        <color rgb="FF1C1916"/>
        <rFont val="Arial"/>
        <family val="0"/>
        <charset val="1"/>
      </rPr>
      <t xml:space="preserve">Tsuii's </t>
    </r>
    <r>
      <rPr>
        <b val="true"/>
        <sz val="16"/>
        <color rgb="FF1C1916"/>
        <rFont val="Linux Libertine G"/>
        <family val="2"/>
      </rPr>
      <t xml:space="preserve">価格表（下書き）</t>
    </r>
  </si>
  <si>
    <t xml:space="preserve">Owner</t>
  </si>
  <si>
    <t xml:space="preserve">Kaoru Mitsui</t>
  </si>
  <si>
    <t xml:space="preserve">Brand</t>
  </si>
  <si>
    <t xml:space="preserve">Tsuii's  /  silver and gold, Indian jewelry style</t>
  </si>
  <si>
    <t xml:space="preserve">何のための表か</t>
  </si>
  <si>
    <t xml:space="preserve">三井さんの商品リストです。黄色のセルだけを書き換えます。販売価格は数式が計算します。</t>
  </si>
  <si>
    <t xml:space="preserve">このブックの数字（重量・工賃・オプション・初期レート）はサンプルです。実商品の数字に置き換えてください。</t>
  </si>
  <si>
    <t xml:space="preserve">価格の式</t>
  </si>
  <si>
    <r>
      <rPr>
        <sz val="10"/>
        <color rgb="FF1C1916"/>
        <rFont val="Linux Libertine G"/>
        <family val="2"/>
      </rPr>
      <t xml:space="preserve">税抜価格 </t>
    </r>
    <r>
      <rPr>
        <sz val="10"/>
        <color rgb="FF1C1916"/>
        <rFont val="Linux Libertine G"/>
        <family val="2"/>
        <charset val="1"/>
      </rPr>
      <t xml:space="preserve">= </t>
    </r>
    <r>
      <rPr>
        <sz val="10"/>
        <color rgb="FF1C1916"/>
        <rFont val="Linux Libertine G"/>
        <family val="2"/>
      </rPr>
      <t xml:space="preserve">重量</t>
    </r>
    <r>
      <rPr>
        <sz val="10"/>
        <color rgb="FF1C1916"/>
        <rFont val="Linux Libertine G"/>
        <family val="2"/>
        <charset val="1"/>
      </rPr>
      <t xml:space="preserve">(g) × </t>
    </r>
    <r>
      <rPr>
        <sz val="10"/>
        <color rgb="FF1C1916"/>
        <rFont val="Linux Libertine G"/>
        <family val="2"/>
      </rPr>
      <t xml:space="preserve">手入力レート</t>
    </r>
    <r>
      <rPr>
        <sz val="10"/>
        <color rgb="FF1C1916"/>
        <rFont val="Linux Libertine G"/>
        <family val="2"/>
        <charset val="1"/>
      </rPr>
      <t xml:space="preserve">(¥/g) + </t>
    </r>
    <r>
      <rPr>
        <sz val="10"/>
        <color rgb="FF1C1916"/>
        <rFont val="Linux Libertine G"/>
        <family val="2"/>
      </rPr>
      <t xml:space="preserve">工賃</t>
    </r>
  </si>
  <si>
    <r>
      <rPr>
        <sz val="10"/>
        <color rgb="FF1C1916"/>
        <rFont val="Linux Libertine G"/>
        <family val="2"/>
      </rPr>
      <t xml:space="preserve">税込価格 </t>
    </r>
    <r>
      <rPr>
        <sz val="10"/>
        <color rgb="FF1C1916"/>
        <rFont val="Linux Libertine G"/>
        <family val="2"/>
        <charset val="1"/>
      </rPr>
      <t xml:space="preserve">= ROUND(</t>
    </r>
    <r>
      <rPr>
        <sz val="10"/>
        <color rgb="FF1C1916"/>
        <rFont val="Linux Libertine G"/>
        <family val="2"/>
      </rPr>
      <t xml:space="preserve">税抜価格 </t>
    </r>
    <r>
      <rPr>
        <sz val="10"/>
        <color rgb="FF1C1916"/>
        <rFont val="Linux Libertine G"/>
        <family val="2"/>
        <charset val="1"/>
      </rPr>
      <t xml:space="preserve">× (1 + </t>
    </r>
    <r>
      <rPr>
        <sz val="10"/>
        <color rgb="FF1C1916"/>
        <rFont val="Linux Libertine G"/>
        <family val="2"/>
      </rPr>
      <t xml:space="preserve">消費税率</t>
    </r>
    <r>
      <rPr>
        <sz val="10"/>
        <color rgb="FF1C1916"/>
        <rFont val="Linux Libertine G"/>
        <family val="2"/>
        <charset val="1"/>
      </rPr>
      <t xml:space="preserve">), 0)</t>
    </r>
  </si>
  <si>
    <r>
      <rPr>
        <sz val="10"/>
        <color rgb="FF1C1916"/>
        <rFont val="Linux Libertine G"/>
        <family val="2"/>
      </rPr>
      <t xml:space="preserve">オプション税抜 </t>
    </r>
    <r>
      <rPr>
        <sz val="10"/>
        <color rgb="FF1C1916"/>
        <rFont val="Linux Libertine G"/>
        <family val="2"/>
        <charset val="1"/>
      </rPr>
      <t xml:space="preserve">= </t>
    </r>
    <r>
      <rPr>
        <sz val="10"/>
        <color rgb="FF1C1916"/>
        <rFont val="Linux Libertine G"/>
        <family val="2"/>
      </rPr>
      <t xml:space="preserve">追加重量</t>
    </r>
    <r>
      <rPr>
        <sz val="10"/>
        <color rgb="FF1C1916"/>
        <rFont val="Linux Libertine G"/>
        <family val="2"/>
        <charset val="1"/>
      </rPr>
      <t xml:space="preserve">(g) × </t>
    </r>
    <r>
      <rPr>
        <sz val="10"/>
        <color rgb="FF1C1916"/>
        <rFont val="Linux Libertine G"/>
        <family val="2"/>
      </rPr>
      <t xml:space="preserve">その商品の地金レート </t>
    </r>
    <r>
      <rPr>
        <sz val="10"/>
        <color rgb="FF1C1916"/>
        <rFont val="Linux Libertine G"/>
        <family val="2"/>
        <charset val="1"/>
      </rPr>
      <t xml:space="preserve">+ </t>
    </r>
    <r>
      <rPr>
        <sz val="10"/>
        <color rgb="FF1C1916"/>
        <rFont val="Linux Libertine G"/>
        <family val="2"/>
      </rPr>
      <t xml:space="preserve">追加固定円</t>
    </r>
  </si>
  <si>
    <t xml:space="preserve">手入力レートを変えると、商品シートとオプションシートの価格が一緒に変わります。</t>
  </si>
  <si>
    <t xml:space="preserve">参照価格</t>
  </si>
  <si>
    <t xml:space="preserve">参照価格は比較用です。販売価格には入りません。ダッシュボードの「本日の参照価格を取得」で日々の相場を見て、必要ならここの黄色セルも更新してください。</t>
  </si>
  <si>
    <r>
      <rPr>
        <sz val="10"/>
        <color rgb="FF1C1916"/>
        <rFont val="Linux Libertine G"/>
        <family val="2"/>
      </rPr>
      <t xml:space="preserve">初期の参照価格は </t>
    </r>
    <r>
      <rPr>
        <sz val="10"/>
        <color rgb="FF1C1916"/>
        <rFont val="Linux Libertine G"/>
        <family val="2"/>
        <charset val="1"/>
      </rPr>
      <t xml:space="preserve">2026-09-29 </t>
    </r>
    <r>
      <rPr>
        <sz val="10"/>
        <color rgb="FF1C1916"/>
        <rFont val="Linux Libertine G"/>
        <family val="2"/>
      </rPr>
      <t xml:space="preserve">のスナップショットです。</t>
    </r>
    <r>
      <rPr>
        <sz val="10"/>
        <color rgb="FF1C1916"/>
        <rFont val="Linux Libertine G"/>
        <family val="2"/>
        <charset val="1"/>
      </rPr>
      <t xml:space="preserve">Gold-API </t>
    </r>
    <r>
      <rPr>
        <sz val="10"/>
        <color rgb="FF1C1916"/>
        <rFont val="Linux Libertine G"/>
        <family val="2"/>
      </rPr>
      <t xml:space="preserve">の </t>
    </r>
    <r>
      <rPr>
        <sz val="10"/>
        <color rgb="FF1C1916"/>
        <rFont val="Linux Libertine G"/>
        <family val="2"/>
        <charset val="1"/>
      </rPr>
      <t xml:space="preserve">USD/troy oz × Frankfurter </t>
    </r>
    <r>
      <rPr>
        <sz val="10"/>
        <color rgb="FF1C1916"/>
        <rFont val="Linux Libertine G"/>
        <family val="2"/>
      </rPr>
      <t xml:space="preserve">の </t>
    </r>
    <r>
      <rPr>
        <sz val="10"/>
        <color rgb="FF1C1916"/>
        <rFont val="Linux Libertine G"/>
        <family val="2"/>
        <charset val="1"/>
      </rPr>
      <t xml:space="preserve">USDJPY</t>
    </r>
    <r>
      <rPr>
        <sz val="10"/>
        <color rgb="FF1C1916"/>
        <rFont val="Linux Libertine G"/>
        <family val="2"/>
      </rPr>
      <t xml:space="preserve">（</t>
    </r>
    <r>
      <rPr>
        <sz val="10"/>
        <color rgb="FF1C1916"/>
        <rFont val="Linux Libertine G"/>
        <family val="2"/>
        <charset val="1"/>
      </rPr>
      <t xml:space="preserve">2026-09-28: 156.88</t>
    </r>
    <r>
      <rPr>
        <sz val="10"/>
        <color rgb="FF1C1916"/>
        <rFont val="Linux Libertine G"/>
        <family val="2"/>
      </rPr>
      <t xml:space="preserve">）。</t>
    </r>
    <r>
      <rPr>
        <sz val="10"/>
        <color rgb="FF1C1916"/>
        <rFont val="Linux Libertine G"/>
        <family val="2"/>
        <charset val="1"/>
      </rPr>
      <t xml:space="preserve">1 troy oz = 31.1034768 g</t>
    </r>
    <r>
      <rPr>
        <sz val="10"/>
        <color rgb="FF1C1916"/>
        <rFont val="Linux Libertine G"/>
        <family val="2"/>
      </rPr>
      <t xml:space="preserve">。円</t>
    </r>
    <r>
      <rPr>
        <sz val="10"/>
        <color rgb="FF1C1916"/>
        <rFont val="Linux Libertine G"/>
        <family val="2"/>
        <charset val="1"/>
      </rPr>
      <t xml:space="preserve">/g</t>
    </r>
    <r>
      <rPr>
        <sz val="10"/>
        <color rgb="FF1C1916"/>
        <rFont val="Linux Libertine G"/>
        <family val="2"/>
      </rPr>
      <t xml:space="preserve">は四捨五入。</t>
    </r>
  </si>
  <si>
    <t xml:space="preserve">手入力レートの初期値は、その参照価格を切りのいい数字に切り上げたサンプルです。</t>
  </si>
  <si>
    <t xml:space="preserve">編集してよいセル</t>
  </si>
  <si>
    <r>
      <rPr>
        <sz val="10"/>
        <color rgb="FF1C1916"/>
        <rFont val="Linux Libertine G"/>
        <family val="2"/>
      </rPr>
      <t xml:space="preserve">レート</t>
    </r>
    <r>
      <rPr>
        <sz val="10"/>
        <color rgb="FF1C1916"/>
        <rFont val="Linux Libertine G"/>
        <family val="2"/>
        <charset val="1"/>
      </rPr>
      <t xml:space="preserve">: </t>
    </r>
    <r>
      <rPr>
        <sz val="10"/>
        <color rgb="FF1C1916"/>
        <rFont val="Linux Libertine G"/>
        <family val="2"/>
      </rPr>
      <t xml:space="preserve">消費税率、手入力レート、参照価格。商品</t>
    </r>
    <r>
      <rPr>
        <sz val="10"/>
        <color rgb="FF1C1916"/>
        <rFont val="Linux Libertine G"/>
        <family val="2"/>
        <charset val="1"/>
      </rPr>
      <t xml:space="preserve">: </t>
    </r>
    <r>
      <rPr>
        <sz val="10"/>
        <color rgb="FF1C1916"/>
        <rFont val="Linux Libertine G"/>
        <family val="2"/>
      </rPr>
      <t xml:space="preserve">商品名・カテゴリ・地金・重量・工賃・メモ。オプション</t>
    </r>
    <r>
      <rPr>
        <sz val="10"/>
        <color rgb="FF1C1916"/>
        <rFont val="Linux Libertine G"/>
        <family val="2"/>
        <charset val="1"/>
      </rPr>
      <t xml:space="preserve">: </t>
    </r>
    <r>
      <rPr>
        <sz val="10"/>
        <color rgb="FF1C1916"/>
        <rFont val="Linux Libertine G"/>
        <family val="2"/>
      </rPr>
      <t xml:space="preserve">商品</t>
    </r>
    <r>
      <rPr>
        <sz val="10"/>
        <color rgb="FF1C1916"/>
        <rFont val="Linux Libertine G"/>
        <family val="2"/>
        <charset val="1"/>
      </rPr>
      <t xml:space="preserve">ID</t>
    </r>
    <r>
      <rPr>
        <sz val="10"/>
        <color rgb="FF1C1916"/>
        <rFont val="Linux Libertine G"/>
        <family val="2"/>
      </rPr>
      <t xml:space="preserve">・名前・追加重量・追加固定円。</t>
    </r>
  </si>
  <si>
    <t xml:space="preserve">緑の文字は他シート参照、黒い文字は数式、青い文字＋黄色は入力です。</t>
  </si>
  <si>
    <r>
      <rPr>
        <b val="true"/>
        <sz val="12"/>
        <color rgb="FF1C1916"/>
        <rFont val="Linux Libertine G"/>
        <family val="2"/>
      </rPr>
      <t xml:space="preserve">ダッシュボードと </t>
    </r>
    <r>
      <rPr>
        <b val="true"/>
        <sz val="12"/>
        <color rgb="FF1C1916"/>
        <rFont val="Linux Libertine G"/>
        <family val="2"/>
        <charset val="1"/>
      </rPr>
      <t xml:space="preserve">iPad </t>
    </r>
    <r>
      <rPr>
        <b val="true"/>
        <sz val="12"/>
        <color rgb="FF1C1916"/>
        <rFont val="Linux Libertine G"/>
        <family val="2"/>
      </rPr>
      <t xml:space="preserve">メニュー</t>
    </r>
  </si>
  <si>
    <r>
      <rPr>
        <sz val="10"/>
        <color rgb="FF1C1916"/>
        <rFont val="Linux Libertine G"/>
        <family val="2"/>
      </rPr>
      <t xml:space="preserve">同じサンプルから始まっています。画面側で保存した内容は、この </t>
    </r>
    <r>
      <rPr>
        <sz val="10"/>
        <color rgb="FF1C1916"/>
        <rFont val="Linux Libertine G"/>
        <family val="2"/>
        <charset val="1"/>
      </rPr>
      <t xml:space="preserve">Excel </t>
    </r>
    <r>
      <rPr>
        <sz val="10"/>
        <color rgb="FF1C1916"/>
        <rFont val="Linux Libertine G"/>
        <family val="2"/>
      </rPr>
      <t xml:space="preserve">には自動で戻りません。店頭用は </t>
    </r>
    <r>
      <rPr>
        <sz val="10"/>
        <color rgb="FF1C1916"/>
        <rFont val="Linux Libertine G"/>
        <family val="2"/>
        <charset val="1"/>
      </rPr>
      <t xml:space="preserve">iPad </t>
    </r>
    <r>
      <rPr>
        <sz val="10"/>
        <color rgb="FF1C1916"/>
        <rFont val="Linux Libertine G"/>
        <family val="2"/>
      </rPr>
      <t xml:space="preserve">メニュー、レート更新用はダッシュボードです。</t>
    </r>
  </si>
  <si>
    <t xml:space="preserve">まだ仮に置いていること</t>
  </si>
  <si>
    <r>
      <rPr>
        <sz val="10"/>
        <color rgb="FF1C1916"/>
        <rFont val="Linux Libertine G"/>
        <family val="2"/>
      </rPr>
      <t xml:space="preserve">税込表示（</t>
    </r>
    <r>
      <rPr>
        <sz val="10"/>
        <color rgb="FF1C1916"/>
        <rFont val="Linux Libertine G"/>
        <family val="2"/>
        <charset val="1"/>
      </rPr>
      <t xml:space="preserve">10%</t>
    </r>
    <r>
      <rPr>
        <sz val="10"/>
        <color rgb="FF1C1916"/>
        <rFont val="Linux Libertine G"/>
        <family val="2"/>
      </rPr>
      <t xml:space="preserve">）、チェーンなどオプションの課金、コラボ品の出し方。実価格として使う前に三井さんの確認が必要です。</t>
    </r>
  </si>
  <si>
    <t xml:space="preserve">地金レート</t>
  </si>
  <si>
    <t xml:space="preserve">黄色のセルが入力です。販売価格が使うのは「手入力レート」だけです。</t>
  </si>
  <si>
    <t xml:space="preserve">値</t>
  </si>
  <si>
    <t xml:space="preserve">消費税率</t>
  </si>
  <si>
    <r>
      <rPr>
        <sz val="9"/>
        <color rgb="FF5C564E"/>
        <rFont val="Linux Libertine G"/>
        <family val="2"/>
      </rPr>
      <t xml:space="preserve">税込価格に使います。</t>
    </r>
    <r>
      <rPr>
        <sz val="9"/>
        <color rgb="FF5C564E"/>
        <rFont val="Linux Libertine G"/>
        <family val="2"/>
        <charset val="1"/>
      </rPr>
      <t xml:space="preserve">10% </t>
    </r>
    <r>
      <rPr>
        <sz val="9"/>
        <color rgb="FF5C564E"/>
        <rFont val="Linux Libertine G"/>
        <family val="2"/>
      </rPr>
      <t xml:space="preserve">なら </t>
    </r>
    <r>
      <rPr>
        <sz val="9"/>
        <color rgb="FF5C564E"/>
        <rFont val="Linux Libertine G"/>
        <family val="2"/>
        <charset val="1"/>
      </rPr>
      <t xml:space="preserve">0.10</t>
    </r>
    <r>
      <rPr>
        <sz val="9"/>
        <color rgb="FF5C564E"/>
        <rFont val="Linux Libertine G"/>
        <family val="2"/>
      </rPr>
      <t xml:space="preserve">。</t>
    </r>
  </si>
  <si>
    <t xml:space="preserve">地金</t>
  </si>
  <si>
    <r>
      <rPr>
        <b val="true"/>
        <sz val="11"/>
        <color rgb="FFFFFFFF"/>
        <rFont val="Linux Libertine G"/>
        <family val="2"/>
      </rPr>
      <t xml:space="preserve">手入力レート </t>
    </r>
    <r>
      <rPr>
        <b val="true"/>
        <sz val="11"/>
        <color rgb="FFFFFFFF"/>
        <rFont val="Linux Libertine G"/>
        <family val="2"/>
        <charset val="1"/>
      </rPr>
      <t xml:space="preserve">(¥/g)</t>
    </r>
  </si>
  <si>
    <r>
      <rPr>
        <b val="true"/>
        <sz val="11"/>
        <color rgb="FFFFFFFF"/>
        <rFont val="Linux Libertine G"/>
        <family val="2"/>
      </rPr>
      <t xml:space="preserve">参照価格 </t>
    </r>
    <r>
      <rPr>
        <b val="true"/>
        <sz val="11"/>
        <color rgb="FFFFFFFF"/>
        <rFont val="Linux Libertine G"/>
        <family val="2"/>
        <charset val="1"/>
      </rPr>
      <t xml:space="preserve">(¥/g)</t>
    </r>
  </si>
  <si>
    <r>
      <rPr>
        <b val="true"/>
        <sz val="11"/>
        <color rgb="FFFFFFFF"/>
        <rFont val="Linux Libertine G"/>
        <family val="2"/>
      </rPr>
      <t xml:space="preserve">差額 </t>
    </r>
    <r>
      <rPr>
        <b val="true"/>
        <sz val="11"/>
        <color rgb="FFFFFFFF"/>
        <rFont val="Linux Libertine G"/>
        <family val="2"/>
        <charset val="1"/>
      </rPr>
      <t xml:space="preserve">(¥/g)</t>
    </r>
  </si>
  <si>
    <t xml:space="preserve">差額率</t>
  </si>
  <si>
    <t xml:space="preserve">シルバー</t>
  </si>
  <si>
    <t xml:space="preserve">ゴールド</t>
  </si>
  <si>
    <r>
      <rPr>
        <sz val="9"/>
        <color rgb="FF5C564E"/>
        <rFont val="Linux Libertine G"/>
        <family val="2"/>
      </rPr>
      <t xml:space="preserve">参照スナップショット </t>
    </r>
    <r>
      <rPr>
        <sz val="9"/>
        <color rgb="FF5C564E"/>
        <rFont val="Linux Libertine G"/>
        <family val="2"/>
        <charset val="1"/>
      </rPr>
      <t xml:space="preserve">2026-09-29: </t>
    </r>
    <r>
      <rPr>
        <sz val="9"/>
        <color rgb="FF5C564E"/>
        <rFont val="Linux Libertine G"/>
        <family val="2"/>
      </rPr>
      <t xml:space="preserve">ゴールド </t>
    </r>
    <r>
      <rPr>
        <sz val="9"/>
        <color rgb="FF5C564E"/>
        <rFont val="Linux Libertine G"/>
        <family val="2"/>
        <charset val="1"/>
      </rPr>
      <t xml:space="preserve">$4,130.20/oz</t>
    </r>
    <r>
      <rPr>
        <sz val="9"/>
        <color rgb="FF5C564E"/>
        <rFont val="Linux Libertine G"/>
        <family val="2"/>
      </rPr>
      <t xml:space="preserve">、シルバー </t>
    </r>
    <r>
      <rPr>
        <sz val="9"/>
        <color rgb="FF5C564E"/>
        <rFont val="Linux Libertine G"/>
        <family val="2"/>
        <charset val="1"/>
      </rPr>
      <t xml:space="preserve">$60.736/oz</t>
    </r>
    <r>
      <rPr>
        <sz val="9"/>
        <color rgb="FF5C564E"/>
        <rFont val="Linux Libertine G"/>
        <family val="2"/>
      </rPr>
      <t xml:space="preserve">、</t>
    </r>
    <r>
      <rPr>
        <sz val="9"/>
        <color rgb="FF5C564E"/>
        <rFont val="Linux Libertine G"/>
        <family val="2"/>
        <charset val="1"/>
      </rPr>
      <t xml:space="preserve">USDJPY 156.88</t>
    </r>
    <r>
      <rPr>
        <sz val="9"/>
        <color rgb="FF5C564E"/>
        <rFont val="Linux Libertine G"/>
        <family val="2"/>
      </rPr>
      <t xml:space="preserve">（</t>
    </r>
    <r>
      <rPr>
        <sz val="9"/>
        <color rgb="FF5C564E"/>
        <rFont val="Linux Libertine G"/>
        <family val="2"/>
        <charset val="1"/>
      </rPr>
      <t xml:space="preserve">Frankfurter 2026-09-28</t>
    </r>
    <r>
      <rPr>
        <sz val="9"/>
        <color rgb="FF5C564E"/>
        <rFont val="Linux Libertine G"/>
        <family val="2"/>
      </rPr>
      <t xml:space="preserve">）。換算前はシルバー </t>
    </r>
    <r>
      <rPr>
        <sz val="9"/>
        <color rgb="FF5C564E"/>
        <rFont val="Linux Libertine G"/>
        <family val="2"/>
        <charset val="1"/>
      </rPr>
      <t xml:space="preserve">306.34 </t>
    </r>
    <r>
      <rPr>
        <sz val="9"/>
        <color rgb="FF5C564E"/>
        <rFont val="Linux Libertine G"/>
        <family val="2"/>
      </rPr>
      <t xml:space="preserve">円</t>
    </r>
    <r>
      <rPr>
        <sz val="9"/>
        <color rgb="FF5C564E"/>
        <rFont val="Linux Libertine G"/>
        <family val="2"/>
        <charset val="1"/>
      </rPr>
      <t xml:space="preserve">/g</t>
    </r>
    <r>
      <rPr>
        <sz val="9"/>
        <color rgb="FF5C564E"/>
        <rFont val="Linux Libertine G"/>
        <family val="2"/>
      </rPr>
      <t xml:space="preserve">、ゴールド </t>
    </r>
    <r>
      <rPr>
        <sz val="9"/>
        <color rgb="FF5C564E"/>
        <rFont val="Linux Libertine G"/>
        <family val="2"/>
        <charset val="1"/>
      </rPr>
      <t xml:space="preserve">20,831.94 </t>
    </r>
    <r>
      <rPr>
        <sz val="9"/>
        <color rgb="FF5C564E"/>
        <rFont val="Linux Libertine G"/>
        <family val="2"/>
      </rPr>
      <t xml:space="preserve">円</t>
    </r>
    <r>
      <rPr>
        <sz val="9"/>
        <color rgb="FF5C564E"/>
        <rFont val="Linux Libertine G"/>
        <family val="2"/>
        <charset val="1"/>
      </rPr>
      <t xml:space="preserve">/g</t>
    </r>
    <r>
      <rPr>
        <sz val="9"/>
        <color rgb="FF5C564E"/>
        <rFont val="Linux Libertine G"/>
        <family val="2"/>
      </rPr>
      <t xml:space="preserve">。</t>
    </r>
  </si>
  <si>
    <r>
      <rPr>
        <sz val="9"/>
        <color rgb="FF5C564E"/>
        <rFont val="Linux Libertine G"/>
        <family val="2"/>
      </rPr>
      <t xml:space="preserve">出典</t>
    </r>
    <r>
      <rPr>
        <sz val="9"/>
        <color rgb="FF5C564E"/>
        <rFont val="Linux Libertine G"/>
        <family val="2"/>
        <charset val="1"/>
      </rPr>
      <t xml:space="preserve">: https://api.gold-api.com/price/XAU </t>
    </r>
    <r>
      <rPr>
        <sz val="9"/>
        <color rgb="FF5C564E"/>
        <rFont val="Linux Libertine G"/>
        <family val="2"/>
      </rPr>
      <t xml:space="preserve">と </t>
    </r>
    <r>
      <rPr>
        <sz val="9"/>
        <color rgb="FF5C564E"/>
        <rFont val="Linux Libertine G"/>
        <family val="2"/>
        <charset val="1"/>
      </rPr>
      <t xml:space="preserve">/XAG </t>
    </r>
    <r>
      <rPr>
        <sz val="9"/>
        <color rgb="FF5C564E"/>
        <rFont val="Linux Libertine G"/>
        <family val="2"/>
      </rPr>
      <t xml:space="preserve">、 </t>
    </r>
    <r>
      <rPr>
        <sz val="9"/>
        <color rgb="FF5C564E"/>
        <rFont val="Linux Libertine G"/>
        <family val="2"/>
        <charset val="1"/>
      </rPr>
      <t xml:space="preserve">https://api.frankfurter.app/latest?from=USD&amp;to=JPY</t>
    </r>
  </si>
  <si>
    <t xml:space="preserve">商品リスト</t>
  </si>
  <si>
    <r>
      <rPr>
        <sz val="9"/>
        <color rgb="FF5C564E"/>
        <rFont val="Linux Libertine G"/>
        <family val="2"/>
      </rPr>
      <t xml:space="preserve">税抜 </t>
    </r>
    <r>
      <rPr>
        <sz val="9"/>
        <color rgb="FF5C564E"/>
        <rFont val="Linux Libertine G"/>
        <family val="2"/>
        <charset val="1"/>
      </rPr>
      <t xml:space="preserve">= </t>
    </r>
    <r>
      <rPr>
        <sz val="9"/>
        <color rgb="FF5C564E"/>
        <rFont val="Linux Libertine G"/>
        <family val="2"/>
      </rPr>
      <t xml:space="preserve">重量 </t>
    </r>
    <r>
      <rPr>
        <sz val="9"/>
        <color rgb="FF5C564E"/>
        <rFont val="Linux Libertine G"/>
        <family val="2"/>
        <charset val="1"/>
      </rPr>
      <t xml:space="preserve">× </t>
    </r>
    <r>
      <rPr>
        <sz val="9"/>
        <color rgb="FF5C564E"/>
        <rFont val="Linux Libertine G"/>
        <family val="2"/>
      </rPr>
      <t xml:space="preserve">地金レート </t>
    </r>
    <r>
      <rPr>
        <sz val="9"/>
        <color rgb="FF5C564E"/>
        <rFont val="Linux Libertine G"/>
        <family val="2"/>
        <charset val="1"/>
      </rPr>
      <t xml:space="preserve">+ </t>
    </r>
    <r>
      <rPr>
        <sz val="9"/>
        <color rgb="FF5C564E"/>
        <rFont val="Linux Libertine G"/>
        <family val="2"/>
      </rPr>
      <t xml:space="preserve">工賃。地金レートは「レート」シートの手入力です。重量・工賃はサンプル。</t>
    </r>
  </si>
  <si>
    <r>
      <rPr>
        <b val="true"/>
        <sz val="11"/>
        <color rgb="FFFFFFFF"/>
        <rFont val="Linux Libertine G"/>
        <family val="2"/>
      </rPr>
      <t xml:space="preserve">商品</t>
    </r>
    <r>
      <rPr>
        <b val="true"/>
        <sz val="11"/>
        <color rgb="FFFFFFFF"/>
        <rFont val="Linux Libertine G"/>
        <family val="2"/>
        <charset val="1"/>
      </rPr>
      <t xml:space="preserve">ID</t>
    </r>
  </si>
  <si>
    <t xml:space="preserve">商品名</t>
  </si>
  <si>
    <t xml:space="preserve">カテゴリ</t>
  </si>
  <si>
    <r>
      <rPr>
        <b val="true"/>
        <sz val="11"/>
        <color rgb="FFFFFFFF"/>
        <rFont val="Linux Libertine G"/>
        <family val="2"/>
      </rPr>
      <t xml:space="preserve">重量 </t>
    </r>
    <r>
      <rPr>
        <b val="true"/>
        <sz val="11"/>
        <color rgb="FFFFFFFF"/>
        <rFont val="Linux Libertine G"/>
        <family val="2"/>
        <charset val="1"/>
      </rPr>
      <t xml:space="preserve">(g)</t>
    </r>
  </si>
  <si>
    <r>
      <rPr>
        <b val="true"/>
        <sz val="11"/>
        <color rgb="FFFFFFFF"/>
        <rFont val="Linux Libertine G"/>
        <family val="2"/>
      </rPr>
      <t xml:space="preserve">工賃 </t>
    </r>
    <r>
      <rPr>
        <b val="true"/>
        <sz val="11"/>
        <color rgb="FFFFFFFF"/>
        <rFont val="Linux Libertine G"/>
        <family val="2"/>
        <charset val="1"/>
      </rPr>
      <t xml:space="preserve">(</t>
    </r>
    <r>
      <rPr>
        <b val="true"/>
        <sz val="11"/>
        <color rgb="FFFFFFFF"/>
        <rFont val="Linux Libertine G"/>
        <family val="2"/>
      </rPr>
      <t xml:space="preserve">円</t>
    </r>
    <r>
      <rPr>
        <b val="true"/>
        <sz val="11"/>
        <color rgb="FFFFFFFF"/>
        <rFont val="Linux Libertine G"/>
        <family val="2"/>
        <charset val="1"/>
      </rPr>
      <t xml:space="preserve">)</t>
    </r>
  </si>
  <si>
    <r>
      <rPr>
        <b val="true"/>
        <sz val="11"/>
        <color rgb="FFFFFFFF"/>
        <rFont val="Linux Libertine G"/>
        <family val="2"/>
      </rPr>
      <t xml:space="preserve">地金レート </t>
    </r>
    <r>
      <rPr>
        <b val="true"/>
        <sz val="11"/>
        <color rgb="FFFFFFFF"/>
        <rFont val="Linux Libertine G"/>
        <family val="2"/>
        <charset val="1"/>
      </rPr>
      <t xml:space="preserve">(¥/g)</t>
    </r>
  </si>
  <si>
    <r>
      <rPr>
        <b val="true"/>
        <sz val="11"/>
        <color rgb="FFFFFFFF"/>
        <rFont val="Linux Libertine G"/>
        <family val="2"/>
      </rPr>
      <t xml:space="preserve">地金代 </t>
    </r>
    <r>
      <rPr>
        <b val="true"/>
        <sz val="11"/>
        <color rgb="FFFFFFFF"/>
        <rFont val="Linux Libertine G"/>
        <family val="2"/>
        <charset val="1"/>
      </rPr>
      <t xml:space="preserve">(</t>
    </r>
    <r>
      <rPr>
        <b val="true"/>
        <sz val="11"/>
        <color rgb="FFFFFFFF"/>
        <rFont val="Linux Libertine G"/>
        <family val="2"/>
      </rPr>
      <t xml:space="preserve">円</t>
    </r>
    <r>
      <rPr>
        <b val="true"/>
        <sz val="11"/>
        <color rgb="FFFFFFFF"/>
        <rFont val="Linux Libertine G"/>
        <family val="2"/>
        <charset val="1"/>
      </rPr>
      <t xml:space="preserve">)</t>
    </r>
  </si>
  <si>
    <r>
      <rPr>
        <b val="true"/>
        <sz val="11"/>
        <color rgb="FFFFFFFF"/>
        <rFont val="Linux Libertine G"/>
        <family val="2"/>
      </rPr>
      <t xml:space="preserve">税抜価格 </t>
    </r>
    <r>
      <rPr>
        <b val="true"/>
        <sz val="11"/>
        <color rgb="FFFFFFFF"/>
        <rFont val="Linux Libertine G"/>
        <family val="2"/>
        <charset val="1"/>
      </rPr>
      <t xml:space="preserve">(</t>
    </r>
    <r>
      <rPr>
        <b val="true"/>
        <sz val="11"/>
        <color rgb="FFFFFFFF"/>
        <rFont val="Linux Libertine G"/>
        <family val="2"/>
      </rPr>
      <t xml:space="preserve">円</t>
    </r>
    <r>
      <rPr>
        <b val="true"/>
        <sz val="11"/>
        <color rgb="FFFFFFFF"/>
        <rFont val="Linux Libertine G"/>
        <family val="2"/>
        <charset val="1"/>
      </rPr>
      <t xml:space="preserve">)</t>
    </r>
  </si>
  <si>
    <r>
      <rPr>
        <b val="true"/>
        <sz val="11"/>
        <color rgb="FFFFFFFF"/>
        <rFont val="Linux Libertine G"/>
        <family val="2"/>
      </rPr>
      <t xml:space="preserve">税込価格 </t>
    </r>
    <r>
      <rPr>
        <b val="true"/>
        <sz val="11"/>
        <color rgb="FFFFFFFF"/>
        <rFont val="Linux Libertine G"/>
        <family val="2"/>
        <charset val="1"/>
      </rPr>
      <t xml:space="preserve">(</t>
    </r>
    <r>
      <rPr>
        <b val="true"/>
        <sz val="11"/>
        <color rgb="FFFFFFFF"/>
        <rFont val="Linux Libertine G"/>
        <family val="2"/>
      </rPr>
      <t xml:space="preserve">円</t>
    </r>
    <r>
      <rPr>
        <b val="true"/>
        <sz val="11"/>
        <color rgb="FFFFFFFF"/>
        <rFont val="Linux Libertine G"/>
        <family val="2"/>
        <charset val="1"/>
      </rPr>
      <t xml:space="preserve">)</t>
    </r>
  </si>
  <si>
    <t xml:space="preserve">SV-001</t>
  </si>
  <si>
    <t xml:space="preserve">バングル「月輪」</t>
  </si>
  <si>
    <t xml:space="preserve">バングル</t>
  </si>
  <si>
    <t xml:space="preserve">サンプル。インドジュエリー風の幅広バングル。</t>
  </si>
  <si>
    <t xml:space="preserve">SV-002</t>
  </si>
  <si>
    <t xml:space="preserve">リング「孔雀」</t>
  </si>
  <si>
    <t xml:space="preserve">リング</t>
  </si>
  <si>
    <t xml:space="preserve">サンプル。モチーフリング。</t>
  </si>
  <si>
    <t xml:space="preserve">SV-003</t>
  </si>
  <si>
    <t xml:space="preserve">ピアス「ジュムカ」</t>
  </si>
  <si>
    <t xml:space="preserve">ピアス</t>
  </si>
  <si>
    <t xml:space="preserve">サンプル。ペア。鐘型のインド風ピアス。</t>
  </si>
  <si>
    <t xml:space="preserve">SV-004</t>
  </si>
  <si>
    <t xml:space="preserve">ネックレス「星屑」</t>
  </si>
  <si>
    <t xml:space="preserve">サンプル。小粒モチーフを連ねた一本。</t>
  </si>
  <si>
    <t xml:space="preserve">GD-001</t>
  </si>
  <si>
    <t xml:space="preserve">ペンダント「陽だまり」</t>
  </si>
  <si>
    <t xml:space="preserve">ペンダント</t>
  </si>
  <si>
    <t xml:space="preserve">サンプル。トップのみ。チェーンはオプション。</t>
  </si>
  <si>
    <t xml:space="preserve">GD-002</t>
  </si>
  <si>
    <t xml:space="preserve">リング「蓮」</t>
  </si>
  <si>
    <t xml:space="preserve">サンプル。蓮モチーフのゴールドリング。</t>
  </si>
  <si>
    <t xml:space="preserve">CL-001</t>
  </si>
  <si>
    <r>
      <rPr>
        <b val="true"/>
        <sz val="11"/>
        <color rgb="FF0000FF"/>
        <rFont val="Linux Libertine G"/>
        <family val="2"/>
      </rPr>
      <t xml:space="preserve">シルバーパーツ（</t>
    </r>
    <r>
      <rPr>
        <b val="true"/>
        <sz val="11"/>
        <color rgb="FF0000FF"/>
        <rFont val="Linux Libertine G"/>
        <family val="2"/>
        <charset val="1"/>
      </rPr>
      <t xml:space="preserve">ARCANA</t>
    </r>
    <r>
      <rPr>
        <b val="true"/>
        <sz val="11"/>
        <color rgb="FF0000FF"/>
        <rFont val="Linux Libertine G"/>
        <family val="2"/>
      </rPr>
      <t xml:space="preserve">）</t>
    </r>
  </si>
  <si>
    <t xml:space="preserve">コラボ</t>
  </si>
  <si>
    <r>
      <rPr>
        <b val="true"/>
        <sz val="11"/>
        <color rgb="FF0000FF"/>
        <rFont val="Linux Libertine G"/>
        <family val="2"/>
      </rPr>
      <t xml:space="preserve">サンプル。</t>
    </r>
    <r>
      <rPr>
        <b val="true"/>
        <sz val="11"/>
        <color rgb="FF0000FF"/>
        <rFont val="Linux Libertine G"/>
        <family val="2"/>
        <charset val="1"/>
      </rPr>
      <t xml:space="preserve">ARCANA</t>
    </r>
    <r>
      <rPr>
        <b val="true"/>
        <sz val="11"/>
        <color rgb="FF0000FF"/>
        <rFont val="Linux Libertine G"/>
        <family val="2"/>
      </rPr>
      <t xml:space="preserve">のバッグ用シルバーパーツ。</t>
    </r>
  </si>
  <si>
    <t xml:space="preserve">CL-002</t>
  </si>
  <si>
    <r>
      <rPr>
        <b val="true"/>
        <sz val="11"/>
        <color rgb="FF0000FF"/>
        <rFont val="Linux Libertine G"/>
        <family val="2"/>
      </rPr>
      <t xml:space="preserve">ゴールドチャーム（</t>
    </r>
    <r>
      <rPr>
        <b val="true"/>
        <sz val="11"/>
        <color rgb="FF0000FF"/>
        <rFont val="Linux Libertine G"/>
        <family val="2"/>
        <charset val="1"/>
      </rPr>
      <t xml:space="preserve">Forty Niners</t>
    </r>
    <r>
      <rPr>
        <b val="true"/>
        <sz val="11"/>
        <color rgb="FF0000FF"/>
        <rFont val="Linux Libertine G"/>
        <family val="2"/>
      </rPr>
      <t xml:space="preserve">）</t>
    </r>
  </si>
  <si>
    <r>
      <rPr>
        <b val="true"/>
        <sz val="11"/>
        <color rgb="FF0000FF"/>
        <rFont val="Linux Libertine G"/>
        <family val="2"/>
      </rPr>
      <t xml:space="preserve">サンプル。</t>
    </r>
    <r>
      <rPr>
        <b val="true"/>
        <sz val="11"/>
        <color rgb="FF0000FF"/>
        <rFont val="Linux Libertine G"/>
        <family val="2"/>
        <charset val="1"/>
      </rPr>
      <t xml:space="preserve">Forty Niners</t>
    </r>
    <r>
      <rPr>
        <b val="true"/>
        <sz val="11"/>
        <color rgb="FF0000FF"/>
        <rFont val="Linux Libertine G"/>
        <family val="2"/>
      </rPr>
      <t xml:space="preserve">とのコラボチャーム。</t>
    </r>
  </si>
  <si>
    <t xml:space="preserve">税込合計</t>
  </si>
  <si>
    <t xml:space="preserve">メニュー全点の税込合計。オプションは含みません。</t>
  </si>
  <si>
    <t xml:space="preserve">オプション（カスタム）</t>
  </si>
  <si>
    <r>
      <rPr>
        <sz val="9"/>
        <color rgb="FF5C564E"/>
        <rFont val="Linux Libertine G"/>
        <family val="2"/>
      </rPr>
      <t xml:space="preserve">税抜 </t>
    </r>
    <r>
      <rPr>
        <sz val="9"/>
        <color rgb="FF5C564E"/>
        <rFont val="Linux Libertine G"/>
        <family val="2"/>
        <charset val="1"/>
      </rPr>
      <t xml:space="preserve">= </t>
    </r>
    <r>
      <rPr>
        <sz val="9"/>
        <color rgb="FF5C564E"/>
        <rFont val="Linux Libertine G"/>
        <family val="2"/>
      </rPr>
      <t xml:space="preserve">追加重量 </t>
    </r>
    <r>
      <rPr>
        <sz val="9"/>
        <color rgb="FF5C564E"/>
        <rFont val="Linux Libertine G"/>
        <family val="2"/>
        <charset val="1"/>
      </rPr>
      <t xml:space="preserve">× </t>
    </r>
    <r>
      <rPr>
        <sz val="9"/>
        <color rgb="FF5C564E"/>
        <rFont val="Linux Libertine G"/>
        <family val="2"/>
      </rPr>
      <t xml:space="preserve">その商品の地金レート </t>
    </r>
    <r>
      <rPr>
        <sz val="9"/>
        <color rgb="FF5C564E"/>
        <rFont val="Linux Libertine G"/>
        <family val="2"/>
        <charset val="1"/>
      </rPr>
      <t xml:space="preserve">+ </t>
    </r>
    <r>
      <rPr>
        <sz val="9"/>
        <color rgb="FF5C564E"/>
        <rFont val="Linux Libertine G"/>
        <family val="2"/>
      </rPr>
      <t xml:space="preserve">追加固定円。シルバーチェーンのように地金が違うものは、追加重量を </t>
    </r>
    <r>
      <rPr>
        <sz val="9"/>
        <color rgb="FF5C564E"/>
        <rFont val="Linux Libertine G"/>
        <family val="2"/>
        <charset val="1"/>
      </rPr>
      <t xml:space="preserve">0 </t>
    </r>
    <r>
      <rPr>
        <sz val="9"/>
        <color rgb="FF5C564E"/>
        <rFont val="Linux Libertine G"/>
        <family val="2"/>
      </rPr>
      <t xml:space="preserve">にして固定円で入れてください。</t>
    </r>
  </si>
  <si>
    <t xml:space="preserve">オプション名</t>
  </si>
  <si>
    <r>
      <rPr>
        <b val="true"/>
        <sz val="11"/>
        <color rgb="FFFFFFFF"/>
        <rFont val="Linux Libertine G"/>
        <family val="2"/>
      </rPr>
      <t xml:space="preserve">追加重量 </t>
    </r>
    <r>
      <rPr>
        <b val="true"/>
        <sz val="11"/>
        <color rgb="FFFFFFFF"/>
        <rFont val="Linux Libertine G"/>
        <family val="2"/>
        <charset val="1"/>
      </rPr>
      <t xml:space="preserve">(g)</t>
    </r>
  </si>
  <si>
    <r>
      <rPr>
        <b val="true"/>
        <sz val="11"/>
        <color rgb="FFFFFFFF"/>
        <rFont val="Linux Libertine G"/>
        <family val="2"/>
      </rPr>
      <t xml:space="preserve">追加固定 </t>
    </r>
    <r>
      <rPr>
        <b val="true"/>
        <sz val="11"/>
        <color rgb="FFFFFFFF"/>
        <rFont val="Linux Libertine G"/>
        <family val="2"/>
        <charset val="1"/>
      </rPr>
      <t xml:space="preserve">(</t>
    </r>
    <r>
      <rPr>
        <b val="true"/>
        <sz val="11"/>
        <color rgb="FFFFFFFF"/>
        <rFont val="Linux Libertine G"/>
        <family val="2"/>
      </rPr>
      <t xml:space="preserve">円</t>
    </r>
    <r>
      <rPr>
        <b val="true"/>
        <sz val="11"/>
        <color rgb="FFFFFFFF"/>
        <rFont val="Linux Libertine G"/>
        <family val="2"/>
        <charset val="1"/>
      </rPr>
      <t xml:space="preserve">)</t>
    </r>
  </si>
  <si>
    <r>
      <rPr>
        <b val="true"/>
        <sz val="11"/>
        <color rgb="FFFFFFFF"/>
        <rFont val="Linux Libertine G"/>
        <family val="2"/>
      </rPr>
      <t xml:space="preserve">税抜 </t>
    </r>
    <r>
      <rPr>
        <b val="true"/>
        <sz val="11"/>
        <color rgb="FFFFFFFF"/>
        <rFont val="Linux Libertine G"/>
        <family val="2"/>
        <charset val="1"/>
      </rPr>
      <t xml:space="preserve">(</t>
    </r>
    <r>
      <rPr>
        <b val="true"/>
        <sz val="11"/>
        <color rgb="FFFFFFFF"/>
        <rFont val="Linux Libertine G"/>
        <family val="2"/>
      </rPr>
      <t xml:space="preserve">円</t>
    </r>
    <r>
      <rPr>
        <b val="true"/>
        <sz val="11"/>
        <color rgb="FFFFFFFF"/>
        <rFont val="Linux Libertine G"/>
        <family val="2"/>
        <charset val="1"/>
      </rPr>
      <t xml:space="preserve">)</t>
    </r>
  </si>
  <si>
    <r>
      <rPr>
        <b val="true"/>
        <sz val="11"/>
        <color rgb="FFFFFFFF"/>
        <rFont val="Linux Libertine G"/>
        <family val="2"/>
      </rPr>
      <t xml:space="preserve">税込 </t>
    </r>
    <r>
      <rPr>
        <b val="true"/>
        <sz val="11"/>
        <color rgb="FFFFFFFF"/>
        <rFont val="Linux Libertine G"/>
        <family val="2"/>
        <charset val="1"/>
      </rPr>
      <t xml:space="preserve">(</t>
    </r>
    <r>
      <rPr>
        <b val="true"/>
        <sz val="11"/>
        <color rgb="FFFFFFFF"/>
        <rFont val="Linux Libertine G"/>
        <family val="2"/>
      </rPr>
      <t xml:space="preserve">円</t>
    </r>
    <r>
      <rPr>
        <b val="true"/>
        <sz val="11"/>
        <color rgb="FFFFFFFF"/>
        <rFont val="Linux Libertine G"/>
        <family val="2"/>
        <charset val="1"/>
      </rPr>
      <t xml:space="preserve">)</t>
    </r>
  </si>
  <si>
    <t xml:space="preserve">サイズ調整</t>
  </si>
  <si>
    <t xml:space="preserve">内側刻印</t>
  </si>
  <si>
    <t xml:space="preserve">石留め</t>
  </si>
  <si>
    <t xml:space="preserve">シリコンキャッチ</t>
  </si>
  <si>
    <r>
      <rPr>
        <b val="true"/>
        <sz val="11"/>
        <color rgb="FF0000FF"/>
        <rFont val="Linux Libertine G"/>
        <family val="2"/>
      </rPr>
      <t xml:space="preserve">アジャスター </t>
    </r>
    <r>
      <rPr>
        <b val="true"/>
        <sz val="11"/>
        <color rgb="FF0000FF"/>
        <rFont val="Linux Libertine G"/>
        <family val="2"/>
        <charset val="1"/>
      </rPr>
      <t xml:space="preserve">+5cm</t>
    </r>
  </si>
  <si>
    <r>
      <rPr>
        <b val="true"/>
        <sz val="11"/>
        <color rgb="FF0000FF"/>
        <rFont val="Linux Libertine G"/>
        <family val="2"/>
      </rPr>
      <t xml:space="preserve">ゴールドチェーン </t>
    </r>
    <r>
      <rPr>
        <b val="true"/>
        <sz val="11"/>
        <color rgb="FF0000FF"/>
        <rFont val="Linux Libertine G"/>
        <family val="2"/>
        <charset val="1"/>
      </rPr>
      <t xml:space="preserve">45cm</t>
    </r>
  </si>
  <si>
    <r>
      <rPr>
        <b val="true"/>
        <sz val="11"/>
        <color rgb="FF0000FF"/>
        <rFont val="Linux Libertine G"/>
        <family val="2"/>
      </rPr>
      <t xml:space="preserve">シルバーチェーン </t>
    </r>
    <r>
      <rPr>
        <b val="true"/>
        <sz val="11"/>
        <color rgb="FF0000FF"/>
        <rFont val="Linux Libertine G"/>
        <family val="2"/>
        <charset val="1"/>
      </rPr>
      <t xml:space="preserve">45cm</t>
    </r>
  </si>
  <si>
    <t xml:space="preserve">サイズ直し</t>
  </si>
  <si>
    <t xml:space="preserve">バレル仕上げ</t>
  </si>
  <si>
    <t xml:space="preserve">刻印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</si>
</sst>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\¥#,##0"/>
    <numFmt numFmtId="167" formatCode="0.0%"/>
    <numFmt numFmtId="168" formatCode="\¥#,##0"/>
    <numFmt numFmtId="169" formatCode="\¥#,##0;&quot;-¥&quot;#,##0;\¥0"/>
    <numFmt numFmtId="170" formatCode="0.0"/>
  </numFmts>
  <fonts count="29">
    <font>
      <sz val="11"/>
      <color theme="1"/>
      <name val="Linux Libertine G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C1916"/>
      <name val="Arial"/>
      <family val="0"/>
      <charset val="1"/>
    </font>
    <font>
      <b val="true"/>
      <sz val="16"/>
      <color rgb="FF1C1916"/>
      <name val="Linux Libertine G"/>
      <family val="2"/>
    </font>
    <font>
      <sz val="9"/>
      <color rgb="FF5C564E"/>
      <name val="Linux Libertine G"/>
      <family val="2"/>
    </font>
    <font>
      <sz val="9"/>
      <color rgb="FF5C564E"/>
      <name val="Arial"/>
      <family val="0"/>
      <charset val="1"/>
    </font>
    <font>
      <b val="true"/>
      <sz val="11"/>
      <color rgb="FFFFFFFF"/>
      <name val="Linux Libertine G"/>
      <family val="2"/>
    </font>
    <font>
      <b val="true"/>
      <sz val="11"/>
      <color rgb="FFFFFFFF"/>
      <name val="Arial"/>
      <family val="0"/>
      <charset val="1"/>
    </font>
    <font>
      <sz val="10"/>
      <color rgb="FF1C1916"/>
      <name val="Linux Libertine G"/>
      <family val="2"/>
    </font>
    <font>
      <b val="true"/>
      <sz val="11"/>
      <color rgb="FF0000FF"/>
      <name val="Linux Libertine G"/>
      <family val="2"/>
    </font>
    <font>
      <b val="true"/>
      <sz val="11"/>
      <color rgb="FF0000FF"/>
      <name val="Arial"/>
      <family val="0"/>
      <charset val="1"/>
    </font>
    <font>
      <sz val="11"/>
      <color rgb="FF1C1916"/>
      <name val="Arial"/>
      <family val="0"/>
      <charset val="1"/>
    </font>
    <font>
      <b val="true"/>
      <sz val="11"/>
      <name val="Linux Libertine G"/>
      <family val="2"/>
    </font>
    <font>
      <b val="true"/>
      <sz val="11"/>
      <name val="Arial"/>
      <family val="0"/>
      <charset val="1"/>
    </font>
    <font>
      <b val="true"/>
      <sz val="12"/>
      <name val="Linux Libertine G"/>
      <family val="2"/>
    </font>
    <font>
      <b val="true"/>
      <sz val="12"/>
      <name val="Arial"/>
      <family val="0"/>
      <charset val="1"/>
    </font>
    <font>
      <sz val="10"/>
      <name val="Linux Libertine G"/>
      <family val="2"/>
    </font>
    <font>
      <sz val="10"/>
      <name val="Arial"/>
      <family val="2"/>
    </font>
    <font>
      <sz val="10"/>
      <color rgb="FF1C1916"/>
      <name val="Arial"/>
      <family val="0"/>
      <charset val="1"/>
    </font>
    <font>
      <b val="true"/>
      <sz val="12"/>
      <color rgb="FF1C1916"/>
      <name val="Linux Libertine G"/>
      <family val="2"/>
    </font>
    <font>
      <sz val="10"/>
      <color rgb="FF1C1916"/>
      <name val="Linux Libertine G"/>
      <family val="2"/>
      <charset val="1"/>
    </font>
    <font>
      <b val="true"/>
      <sz val="12"/>
      <color rgb="FF1C1916"/>
      <name val="Linux Libertine G"/>
      <family val="2"/>
      <charset val="1"/>
    </font>
    <font>
      <sz val="9"/>
      <color rgb="FF5C564E"/>
      <name val="Linux Libertine G"/>
      <family val="2"/>
      <charset val="1"/>
    </font>
    <font>
      <b val="true"/>
      <sz val="11"/>
      <color rgb="FFFFFFFF"/>
      <name val="Linux Libertine G"/>
      <family val="2"/>
      <charset val="1"/>
    </font>
    <font>
      <sz val="11"/>
      <color rgb="FF008000"/>
      <name val="Arial"/>
      <family val="0"/>
      <charset val="1"/>
    </font>
    <font>
      <b val="true"/>
      <sz val="11"/>
      <color rgb="FF0000FF"/>
      <name val="Linux Libertine G"/>
      <family val="2"/>
      <charset val="1"/>
    </font>
    <font>
      <sz val="11"/>
      <color rgb="FF008000"/>
      <name val="Linux Libertine G"/>
      <family val="2"/>
    </font>
  </fonts>
  <fills count="7">
    <fill>
      <patternFill patternType="none"/>
    </fill>
    <fill>
      <patternFill patternType="gray125"/>
    </fill>
    <fill>
      <patternFill patternType="solid">
        <fgColor rgb="FF1C1916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6F1E8"/>
        <bgColor rgb="FFE7E8EA"/>
      </patternFill>
    </fill>
    <fill>
      <patternFill patternType="solid">
        <fgColor rgb="FFE7E8EA"/>
        <bgColor rgb="FFF6F1E8"/>
      </patternFill>
    </fill>
    <fill>
      <patternFill patternType="solid">
        <fgColor rgb="FFF3E6C8"/>
        <bgColor rgb="FFE7E8E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0C3"/>
      </left>
      <right style="thin">
        <color rgb="FFD9D0C3"/>
      </right>
      <top style="thin">
        <color rgb="FFD9D0C3"/>
      </top>
      <bottom style="thin">
        <color rgb="FFD9D0C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C1916"/>
          <bgColor rgb="FF000000"/>
        </patternFill>
      </fill>
    </dxf>
    <dxf>
      <fill>
        <patternFill patternType="solid">
          <fgColor rgb="FFF6F1E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E7E8EA"/>
          <bgColor rgb="FF000000"/>
        </patternFill>
      </fill>
    </dxf>
    <dxf>
      <fill>
        <patternFill patternType="solid">
          <fgColor rgb="FFF3E6C8"/>
          <bgColor rgb="FF000000"/>
        </patternFill>
      </fill>
    </dxf>
    <dxf>
      <fill>
        <patternFill>
          <bgColor rgb="FFF6D6D6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7340"/>
      <rgbColor rgb="FF800080"/>
      <rgbColor rgb="FF008080"/>
      <rgbColor rgb="FFC5C7C9"/>
      <rgbColor rgb="FF808080"/>
      <rgbColor rgb="FF9999FF"/>
      <rgbColor rgb="FF993366"/>
      <rgbColor rgb="FFF6F1E8"/>
      <rgbColor rgb="FFE7E8EA"/>
      <rgbColor rgb="FF660066"/>
      <rgbColor rgb="FFFF8080"/>
      <rgbColor rgb="FF0066CC"/>
      <rgbColor rgb="FFD9D0C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3E6C8"/>
      <rgbColor rgb="FF99CCFF"/>
      <rgbColor rgb="FFFF99CC"/>
      <rgbColor rgb="FFCC99FF"/>
      <rgbColor rgb="FFF6D6D6"/>
      <rgbColor rgb="FF3366FF"/>
      <rgbColor rgb="FF33CCCC"/>
      <rgbColor rgb="FF99CC00"/>
      <rgbColor rgb="FFFFCC00"/>
      <rgbColor rgb="FFFF9900"/>
      <rgbColor rgb="FFFF6600"/>
      <rgbColor rgb="FF5C564E"/>
      <rgbColor rgb="FF8D9094"/>
      <rgbColor rgb="FF003366"/>
      <rgbColor rgb="FF339966"/>
      <rgbColor rgb="FF003300"/>
      <rgbColor rgb="FF1C1916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7340"/>
    <pageSetUpPr fitToPage="true"/>
  </sheetPr>
  <dimension ref="A1:F39"/>
  <sheetViews>
    <sheetView showFormulas="false" showGridLines="false" showRowColHeaders="true" showZeros="true" rightToLeft="false" tabSelected="true" showOutlineSymbols="true" defaultGridColor="true" view="normal" topLeftCell="A1" colorId="64" zoomScale="120" zoomScaleNormal="12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2"/>
    <col collapsed="false" customWidth="true" hidden="false" outlineLevel="0" max="3" min="3" style="0" width="12"/>
    <col collapsed="false" customWidth="true" hidden="false" outlineLevel="0" max="5" min="4" style="0" width="16"/>
    <col collapsed="false" customWidth="true" hidden="false" outlineLevel="0" max="6" min="6" style="0" width="36"/>
  </cols>
  <sheetData>
    <row r="1" customFormat="false" ht="19.4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31.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24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9.5" hidden="false" customHeight="true" outlineLevel="0" collapsed="false">
      <c r="A5" s="4" t="s">
        <v>8</v>
      </c>
      <c r="B5" s="5" t="s">
        <v>8</v>
      </c>
      <c r="C5" s="6" t="n">
        <v>1</v>
      </c>
      <c r="D5" s="7" t="n">
        <v>60000</v>
      </c>
      <c r="E5" s="8" t="n">
        <f aca="false">C5*D5</f>
        <v>60000</v>
      </c>
      <c r="F5" s="5"/>
    </row>
    <row r="6" customFormat="false" ht="21.75" hidden="false" customHeight="true" outlineLevel="0" collapsed="false">
      <c r="A6" s="9"/>
      <c r="B6" s="10" t="s">
        <v>9</v>
      </c>
      <c r="C6" s="9"/>
      <c r="D6" s="9"/>
      <c r="E6" s="11" t="n">
        <f aca="false">SUM(E5)</f>
        <v>60000</v>
      </c>
      <c r="F6" s="9"/>
    </row>
    <row r="8" customFormat="false" ht="19.5" hidden="false" customHeight="true" outlineLevel="0" collapsed="false">
      <c r="A8" s="4" t="s">
        <v>10</v>
      </c>
      <c r="B8" s="5" t="s">
        <v>11</v>
      </c>
      <c r="C8" s="6" t="n">
        <v>128</v>
      </c>
      <c r="D8" s="7" t="n">
        <v>3800</v>
      </c>
      <c r="E8" s="8" t="n">
        <f aca="false">C8*D8</f>
        <v>486400</v>
      </c>
      <c r="F8" s="12" t="s">
        <v>12</v>
      </c>
    </row>
    <row r="9" customFormat="false" ht="19.5" hidden="false" customHeight="true" outlineLevel="0" collapsed="false">
      <c r="A9" s="4"/>
      <c r="B9" s="5" t="s">
        <v>13</v>
      </c>
      <c r="C9" s="6" t="n">
        <v>3</v>
      </c>
      <c r="D9" s="7" t="n">
        <v>60000</v>
      </c>
      <c r="E9" s="8" t="n">
        <f aca="false">C9*D9</f>
        <v>180000</v>
      </c>
      <c r="F9" s="5"/>
    </row>
    <row r="10" customFormat="false" ht="19.5" hidden="false" customHeight="true" outlineLevel="0" collapsed="false">
      <c r="A10" s="4"/>
      <c r="B10" s="5" t="s">
        <v>14</v>
      </c>
      <c r="C10" s="6" t="n">
        <v>1</v>
      </c>
      <c r="D10" s="7" t="n">
        <v>60000</v>
      </c>
      <c r="E10" s="8" t="n">
        <f aca="false">C10*D10</f>
        <v>60000</v>
      </c>
      <c r="F10" s="5"/>
    </row>
    <row r="11" customFormat="false" ht="19.5" hidden="false" customHeight="true" outlineLevel="0" collapsed="false">
      <c r="A11" s="4"/>
      <c r="B11" s="5" t="s">
        <v>15</v>
      </c>
      <c r="C11" s="6" t="n">
        <v>2</v>
      </c>
      <c r="D11" s="7" t="n">
        <v>3100</v>
      </c>
      <c r="E11" s="8" t="n">
        <f aca="false">C11*D11</f>
        <v>6200</v>
      </c>
      <c r="F11" s="5"/>
    </row>
    <row r="12" customFormat="false" ht="19.5" hidden="false" customHeight="true" outlineLevel="0" collapsed="false">
      <c r="A12" s="4"/>
      <c r="B12" s="5" t="s">
        <v>16</v>
      </c>
      <c r="C12" s="6" t="n">
        <v>1</v>
      </c>
      <c r="D12" s="7" t="n">
        <v>1500</v>
      </c>
      <c r="E12" s="8" t="n">
        <f aca="false">C12*D12</f>
        <v>1500</v>
      </c>
      <c r="F12" s="5"/>
    </row>
    <row r="13" customFormat="false" ht="19.5" hidden="false" customHeight="true" outlineLevel="0" collapsed="false">
      <c r="A13" s="4"/>
      <c r="B13" s="5" t="s">
        <v>17</v>
      </c>
      <c r="C13" s="6" t="n">
        <v>1</v>
      </c>
      <c r="D13" s="7" t="n">
        <v>25000</v>
      </c>
      <c r="E13" s="8" t="n">
        <f aca="false">C13*D13</f>
        <v>25000</v>
      </c>
      <c r="F13" s="5"/>
    </row>
    <row r="14" customFormat="false" ht="19.5" hidden="false" customHeight="true" outlineLevel="0" collapsed="false">
      <c r="A14" s="4"/>
      <c r="B14" s="5" t="s">
        <v>18</v>
      </c>
      <c r="C14" s="6" t="n">
        <v>1</v>
      </c>
      <c r="D14" s="7" t="n">
        <v>15000</v>
      </c>
      <c r="E14" s="8" t="n">
        <f aca="false">C14*D14</f>
        <v>15000</v>
      </c>
      <c r="F14" s="5"/>
    </row>
    <row r="15" customFormat="false" ht="19.5" hidden="false" customHeight="true" outlineLevel="0" collapsed="false">
      <c r="A15" s="4"/>
      <c r="B15" s="5" t="s">
        <v>19</v>
      </c>
      <c r="C15" s="6" t="n">
        <v>2</v>
      </c>
      <c r="D15" s="7" t="n">
        <v>3000</v>
      </c>
      <c r="E15" s="8" t="n">
        <f aca="false">C15*D15</f>
        <v>6000</v>
      </c>
      <c r="F15" s="5"/>
    </row>
    <row r="16" customFormat="false" ht="19.5" hidden="false" customHeight="true" outlineLevel="0" collapsed="false">
      <c r="A16" s="4"/>
      <c r="B16" s="12" t="s">
        <v>20</v>
      </c>
      <c r="C16" s="6" t="n">
        <v>1</v>
      </c>
      <c r="D16" s="7" t="n">
        <v>50000</v>
      </c>
      <c r="E16" s="8" t="n">
        <f aca="false">C16*D16</f>
        <v>50000</v>
      </c>
      <c r="F16" s="5"/>
    </row>
    <row r="17" customFormat="false" ht="19.5" hidden="false" customHeight="true" outlineLevel="0" collapsed="false">
      <c r="A17" s="4"/>
      <c r="B17" s="12" t="s">
        <v>21</v>
      </c>
      <c r="C17" s="6" t="n">
        <v>1</v>
      </c>
      <c r="D17" s="7" t="n">
        <v>330000</v>
      </c>
      <c r="E17" s="8" t="n">
        <f aca="false">C17*D17</f>
        <v>330000</v>
      </c>
      <c r="F17" s="5"/>
    </row>
    <row r="18" customFormat="false" ht="19.5" hidden="false" customHeight="true" outlineLevel="0" collapsed="false">
      <c r="A18" s="4"/>
      <c r="B18" s="5" t="s">
        <v>22</v>
      </c>
      <c r="C18" s="6" t="n">
        <v>1</v>
      </c>
      <c r="D18" s="7" t="n">
        <v>5000</v>
      </c>
      <c r="E18" s="8" t="n">
        <f aca="false">C18*D18</f>
        <v>5000</v>
      </c>
      <c r="F18" s="5"/>
    </row>
    <row r="19" customFormat="false" ht="19.5" hidden="false" customHeight="true" outlineLevel="0" collapsed="false">
      <c r="A19" s="4"/>
      <c r="B19" s="5" t="s">
        <v>23</v>
      </c>
      <c r="C19" s="6" t="n">
        <v>1</v>
      </c>
      <c r="D19" s="7" t="n">
        <v>15000</v>
      </c>
      <c r="E19" s="8" t="n">
        <f aca="false">C19*D19</f>
        <v>15000</v>
      </c>
      <c r="F19" s="5"/>
    </row>
    <row r="20" customFormat="false" ht="19.5" hidden="false" customHeight="true" outlineLevel="0" collapsed="false">
      <c r="A20" s="4"/>
      <c r="B20" s="5" t="s">
        <v>24</v>
      </c>
      <c r="C20" s="6" t="n">
        <v>1</v>
      </c>
      <c r="D20" s="7" t="n">
        <v>5000</v>
      </c>
      <c r="E20" s="8" t="n">
        <f aca="false">C20*D20</f>
        <v>5000</v>
      </c>
      <c r="F20" s="5"/>
    </row>
    <row r="21" customFormat="false" ht="19.5" hidden="false" customHeight="true" outlineLevel="0" collapsed="false">
      <c r="A21" s="4"/>
      <c r="B21" s="5" t="s">
        <v>25</v>
      </c>
      <c r="C21" s="6" t="n">
        <v>4</v>
      </c>
      <c r="D21" s="7" t="n">
        <v>2300</v>
      </c>
      <c r="E21" s="8" t="n">
        <f aca="false">C21*D21</f>
        <v>9200</v>
      </c>
      <c r="F21" s="5"/>
    </row>
    <row r="22" customFormat="false" ht="19.5" hidden="false" customHeight="true" outlineLevel="0" collapsed="false">
      <c r="A22" s="4"/>
      <c r="B22" s="5" t="s">
        <v>26</v>
      </c>
      <c r="C22" s="6" t="n">
        <v>1</v>
      </c>
      <c r="D22" s="7" t="n">
        <v>5000</v>
      </c>
      <c r="E22" s="8" t="n">
        <f aca="false">C22*D22</f>
        <v>5000</v>
      </c>
      <c r="F22" s="5"/>
    </row>
    <row r="23" customFormat="false" ht="19.5" hidden="false" customHeight="true" outlineLevel="0" collapsed="false">
      <c r="A23" s="4"/>
      <c r="B23" s="12" t="s">
        <v>27</v>
      </c>
      <c r="C23" s="6" t="n">
        <v>1</v>
      </c>
      <c r="D23" s="7" t="n">
        <v>1000</v>
      </c>
      <c r="E23" s="8" t="n">
        <f aca="false">C23*D23</f>
        <v>1000</v>
      </c>
      <c r="F23" s="5"/>
    </row>
    <row r="24" customFormat="false" ht="21.75" hidden="false" customHeight="true" outlineLevel="0" collapsed="false">
      <c r="A24" s="9"/>
      <c r="B24" s="10" t="s">
        <v>28</v>
      </c>
      <c r="C24" s="9"/>
      <c r="D24" s="9"/>
      <c r="E24" s="11" t="n">
        <f aca="false">SUM(E8:E23)</f>
        <v>1200300</v>
      </c>
      <c r="F24" s="9"/>
    </row>
    <row r="26" customFormat="false" ht="19.5" hidden="false" customHeight="true" outlineLevel="0" collapsed="false">
      <c r="A26" s="4" t="s">
        <v>29</v>
      </c>
      <c r="B26" s="5" t="s">
        <v>30</v>
      </c>
      <c r="C26" s="6" t="n">
        <v>29</v>
      </c>
      <c r="D26" s="7" t="n">
        <v>3800</v>
      </c>
      <c r="E26" s="8" t="n">
        <f aca="false">C26*D26</f>
        <v>110200</v>
      </c>
      <c r="F26" s="5"/>
    </row>
    <row r="27" customFormat="false" ht="19.5" hidden="false" customHeight="true" outlineLevel="0" collapsed="false">
      <c r="A27" s="4"/>
      <c r="B27" s="5" t="s">
        <v>31</v>
      </c>
      <c r="C27" s="6" t="n">
        <v>1</v>
      </c>
      <c r="D27" s="7" t="n">
        <v>60000</v>
      </c>
      <c r="E27" s="8" t="n">
        <f aca="false">C27*D27</f>
        <v>60000</v>
      </c>
      <c r="F27" s="5"/>
    </row>
    <row r="28" customFormat="false" ht="19.5" hidden="false" customHeight="true" outlineLevel="0" collapsed="false">
      <c r="A28" s="4"/>
      <c r="B28" s="5" t="s">
        <v>32</v>
      </c>
      <c r="C28" s="6" t="n">
        <v>2</v>
      </c>
      <c r="D28" s="7" t="n">
        <v>2700</v>
      </c>
      <c r="E28" s="8" t="n">
        <f aca="false">C28*D28</f>
        <v>5400</v>
      </c>
      <c r="F28" s="5"/>
    </row>
    <row r="29" customFormat="false" ht="19.5" hidden="false" customHeight="true" outlineLevel="0" collapsed="false">
      <c r="A29" s="4"/>
      <c r="B29" s="5" t="s">
        <v>17</v>
      </c>
      <c r="C29" s="6" t="n">
        <v>1</v>
      </c>
      <c r="D29" s="7" t="n">
        <v>25000</v>
      </c>
      <c r="E29" s="8" t="n">
        <f aca="false">C29*D29</f>
        <v>25000</v>
      </c>
      <c r="F29" s="5"/>
    </row>
    <row r="30" customFormat="false" ht="19.5" hidden="false" customHeight="true" outlineLevel="0" collapsed="false">
      <c r="A30" s="4"/>
      <c r="B30" s="5" t="s">
        <v>18</v>
      </c>
      <c r="C30" s="6" t="n">
        <v>1</v>
      </c>
      <c r="D30" s="7" t="n">
        <v>15000</v>
      </c>
      <c r="E30" s="8" t="n">
        <f aca="false">C30*D30</f>
        <v>15000</v>
      </c>
      <c r="F30" s="5"/>
    </row>
    <row r="31" customFormat="false" ht="19.5" hidden="false" customHeight="true" outlineLevel="0" collapsed="false">
      <c r="A31" s="4"/>
      <c r="B31" s="5" t="s">
        <v>24</v>
      </c>
      <c r="C31" s="6" t="n">
        <v>1</v>
      </c>
      <c r="D31" s="7" t="n">
        <v>5000</v>
      </c>
      <c r="E31" s="8" t="n">
        <f aca="false">C31*D31</f>
        <v>5000</v>
      </c>
      <c r="F31" s="5"/>
    </row>
    <row r="32" customFormat="false" ht="19.5" hidden="false" customHeight="true" outlineLevel="0" collapsed="false">
      <c r="A32" s="4"/>
      <c r="B32" s="5" t="s">
        <v>33</v>
      </c>
      <c r="C32" s="6" t="n">
        <v>2</v>
      </c>
      <c r="D32" s="7" t="n">
        <v>3000</v>
      </c>
      <c r="E32" s="8" t="n">
        <f aca="false">C32*D32</f>
        <v>6000</v>
      </c>
      <c r="F32" s="5"/>
    </row>
    <row r="33" customFormat="false" ht="19.5" hidden="false" customHeight="true" outlineLevel="0" collapsed="false">
      <c r="A33" s="4"/>
      <c r="B33" s="5" t="s">
        <v>16</v>
      </c>
      <c r="C33" s="6" t="n">
        <v>1</v>
      </c>
      <c r="D33" s="7" t="n">
        <v>500</v>
      </c>
      <c r="E33" s="8" t="n">
        <f aca="false">C33*D33</f>
        <v>500</v>
      </c>
      <c r="F33" s="5"/>
    </row>
    <row r="34" customFormat="false" ht="21.75" hidden="false" customHeight="true" outlineLevel="0" collapsed="false">
      <c r="A34" s="9"/>
      <c r="B34" s="10" t="s">
        <v>34</v>
      </c>
      <c r="C34" s="9"/>
      <c r="D34" s="9"/>
      <c r="E34" s="11" t="n">
        <f aca="false">SUM(E26:E33)</f>
        <v>227100</v>
      </c>
      <c r="F34" s="9"/>
    </row>
    <row r="36" customFormat="false" ht="19.5" hidden="false" customHeight="true" outlineLevel="0" collapsed="false">
      <c r="A36" s="4" t="s">
        <v>35</v>
      </c>
      <c r="B36" s="5" t="s">
        <v>36</v>
      </c>
      <c r="C36" s="6" t="n">
        <v>1</v>
      </c>
      <c r="D36" s="7" t="n">
        <v>8500</v>
      </c>
      <c r="E36" s="8" t="n">
        <f aca="false">C36*D36</f>
        <v>8500</v>
      </c>
      <c r="F36" s="5"/>
    </row>
    <row r="37" customFormat="false" ht="21.75" hidden="false" customHeight="true" outlineLevel="0" collapsed="false">
      <c r="A37" s="9"/>
      <c r="B37" s="10" t="s">
        <v>37</v>
      </c>
      <c r="C37" s="9"/>
      <c r="D37" s="9"/>
      <c r="E37" s="11" t="n">
        <f aca="false">SUM(E36)</f>
        <v>8500</v>
      </c>
      <c r="F37" s="9"/>
    </row>
    <row r="39" customFormat="false" ht="15" hidden="false" customHeight="false" outlineLevel="0" collapsed="false">
      <c r="B39" s="13" t="s">
        <v>38</v>
      </c>
      <c r="E39" s="14" t="n">
        <f aca="false">E6+E24+E34+E37</f>
        <v>1495900</v>
      </c>
    </row>
  </sheetData>
  <autoFilter ref="A4:F37"/>
  <mergeCells count="2">
    <mergeCell ref="A1:F1"/>
    <mergeCell ref="A2:F2"/>
  </mergeCells>
  <printOptions headings="false" gridLines="false" gridLinesSet="true" horizontalCentered="false" verticalCentered="false"/>
  <pageMargins left="0.5" right="0.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&amp;LTsuii's  見積</oddHeader>
    <oddFooter>&amp;LQuoted amounts from the previous conversation. Tax not stated.&amp;R見積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7340"/>
    <pageSetUpPr fitToPage="true"/>
  </sheetPr>
  <dimension ref="A1:B28"/>
  <sheetViews>
    <sheetView showFormulas="false" showGridLines="fals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9.4453125" defaultRowHeight="15" customHeight="false" zeroHeight="false" outlineLevelRow="0" outlineLevelCol="0"/>
  <cols>
    <col collapsed="false" customWidth="true" hidden="false" outlineLevel="0" max="1" min="1" style="15" width="30.47"/>
    <col collapsed="false" customWidth="true" hidden="false" outlineLevel="0" max="2" min="2" style="15" width="119.71"/>
  </cols>
  <sheetData>
    <row r="1" customFormat="false" ht="27.75" hidden="false" customHeight="true" outlineLevel="0" collapsed="false">
      <c r="A1" s="16" t="s">
        <v>39</v>
      </c>
      <c r="B1" s="16"/>
    </row>
    <row r="2" customFormat="false" ht="18" hidden="false" customHeight="true" outlineLevel="0" collapsed="false">
      <c r="A2" s="17" t="s">
        <v>40</v>
      </c>
      <c r="B2" s="18" t="s">
        <v>41</v>
      </c>
    </row>
    <row r="3" customFormat="false" ht="18" hidden="false" customHeight="true" outlineLevel="0" collapsed="false">
      <c r="A3" s="17" t="s">
        <v>42</v>
      </c>
      <c r="B3" s="18" t="s">
        <v>43</v>
      </c>
    </row>
    <row r="4" customFormat="false" ht="18" hidden="false" customHeight="true" outlineLevel="0" collapsed="false"/>
    <row r="5" customFormat="false" ht="18" hidden="false" customHeight="true" outlineLevel="0" collapsed="false">
      <c r="A5" s="19" t="s">
        <v>44</v>
      </c>
      <c r="B5" s="19"/>
    </row>
    <row r="6" customFormat="false" ht="36" hidden="false" customHeight="true" outlineLevel="0" collapsed="false">
      <c r="A6" s="20" t="s">
        <v>45</v>
      </c>
      <c r="B6" s="20"/>
    </row>
    <row r="7" customFormat="false" ht="36" hidden="false" customHeight="true" outlineLevel="0" collapsed="false">
      <c r="A7" s="20" t="s">
        <v>46</v>
      </c>
      <c r="B7" s="20"/>
    </row>
    <row r="8" customFormat="false" ht="18" hidden="false" customHeight="true" outlineLevel="0" collapsed="false"/>
    <row r="9" customFormat="false" ht="18" hidden="false" customHeight="true" outlineLevel="0" collapsed="false">
      <c r="A9" s="19" t="s">
        <v>47</v>
      </c>
      <c r="B9" s="19"/>
    </row>
    <row r="10" customFormat="false" ht="18" hidden="false" customHeight="true" outlineLevel="0" collapsed="false">
      <c r="A10" s="20" t="s">
        <v>48</v>
      </c>
      <c r="B10" s="20"/>
    </row>
    <row r="11" customFormat="false" ht="18" hidden="false" customHeight="true" outlineLevel="0" collapsed="false">
      <c r="A11" s="20" t="s">
        <v>49</v>
      </c>
      <c r="B11" s="20"/>
    </row>
    <row r="12" customFormat="false" ht="18" hidden="false" customHeight="true" outlineLevel="0" collapsed="false">
      <c r="A12" s="20" t="s">
        <v>50</v>
      </c>
      <c r="B12" s="20"/>
    </row>
    <row r="13" customFormat="false" ht="18" hidden="false" customHeight="true" outlineLevel="0" collapsed="false">
      <c r="A13" s="20" t="s">
        <v>51</v>
      </c>
      <c r="B13" s="20"/>
    </row>
    <row r="14" customFormat="false" ht="18" hidden="false" customHeight="true" outlineLevel="0" collapsed="false"/>
    <row r="15" customFormat="false" ht="18" hidden="false" customHeight="true" outlineLevel="0" collapsed="false">
      <c r="A15" s="19" t="s">
        <v>52</v>
      </c>
      <c r="B15" s="19"/>
    </row>
    <row r="16" customFormat="false" ht="36" hidden="false" customHeight="true" outlineLevel="0" collapsed="false">
      <c r="A16" s="20" t="s">
        <v>53</v>
      </c>
      <c r="B16" s="20"/>
    </row>
    <row r="17" customFormat="false" ht="36" hidden="false" customHeight="true" outlineLevel="0" collapsed="false">
      <c r="A17" s="20" t="s">
        <v>54</v>
      </c>
      <c r="B17" s="20"/>
    </row>
    <row r="18" customFormat="false" ht="18" hidden="false" customHeight="true" outlineLevel="0" collapsed="false">
      <c r="A18" s="20" t="s">
        <v>55</v>
      </c>
      <c r="B18" s="20"/>
    </row>
    <row r="19" customFormat="false" ht="18" hidden="false" customHeight="true" outlineLevel="0" collapsed="false"/>
    <row r="20" customFormat="false" ht="18" hidden="false" customHeight="true" outlineLevel="0" collapsed="false">
      <c r="A20" s="19" t="s">
        <v>56</v>
      </c>
      <c r="B20" s="19"/>
    </row>
    <row r="21" customFormat="false" ht="36" hidden="false" customHeight="true" outlineLevel="0" collapsed="false">
      <c r="A21" s="20" t="s">
        <v>57</v>
      </c>
      <c r="B21" s="20"/>
    </row>
    <row r="22" customFormat="false" ht="18" hidden="false" customHeight="true" outlineLevel="0" collapsed="false">
      <c r="A22" s="20" t="s">
        <v>58</v>
      </c>
      <c r="B22" s="20"/>
    </row>
    <row r="23" customFormat="false" ht="18" hidden="false" customHeight="true" outlineLevel="0" collapsed="false"/>
    <row r="24" customFormat="false" ht="18" hidden="false" customHeight="true" outlineLevel="0" collapsed="false">
      <c r="A24" s="19" t="s">
        <v>59</v>
      </c>
      <c r="B24" s="19"/>
    </row>
    <row r="25" customFormat="false" ht="36" hidden="false" customHeight="true" outlineLevel="0" collapsed="false">
      <c r="A25" s="20" t="s">
        <v>60</v>
      </c>
      <c r="B25" s="20"/>
    </row>
    <row r="26" customFormat="false" ht="18" hidden="false" customHeight="true" outlineLevel="0" collapsed="false"/>
    <row r="27" customFormat="false" ht="18" hidden="false" customHeight="true" outlineLevel="0" collapsed="false">
      <c r="A27" s="19" t="s">
        <v>61</v>
      </c>
      <c r="B27" s="19"/>
    </row>
    <row r="28" customFormat="false" ht="36" hidden="false" customHeight="true" outlineLevel="0" collapsed="false">
      <c r="A28" s="20" t="s">
        <v>62</v>
      </c>
      <c r="B28" s="20"/>
    </row>
  </sheetData>
  <mergeCells count="20">
    <mergeCell ref="A1:B1"/>
    <mergeCell ref="A5:B5"/>
    <mergeCell ref="A6:B6"/>
    <mergeCell ref="A7:B7"/>
    <mergeCell ref="A9:B9"/>
    <mergeCell ref="A10:B10"/>
    <mergeCell ref="A11:B11"/>
    <mergeCell ref="A12:B12"/>
    <mergeCell ref="A13:B13"/>
    <mergeCell ref="A15:B15"/>
    <mergeCell ref="A16:B16"/>
    <mergeCell ref="A17:B17"/>
    <mergeCell ref="A18:B18"/>
    <mergeCell ref="A20:B20"/>
    <mergeCell ref="A21:B21"/>
    <mergeCell ref="A22:B22"/>
    <mergeCell ref="A24:B24"/>
    <mergeCell ref="A25:B25"/>
    <mergeCell ref="A27:B27"/>
    <mergeCell ref="A28:B28"/>
  </mergeCells>
  <printOptions headings="false" gridLines="false" gridLinesSet="true" horizontalCentered="true" verticalCentered="false"/>
  <pageMargins left="0.6" right="0.6" top="0.7" bottom="0.6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&amp;L&amp;"Calibri"Tsuii's  下書き</oddHeader>
    <oddFooter>&amp;L&amp;"Calibri"Sample figures. Not a retail price list until Kaoru Mitsui replaces them.&amp;R&amp;"Calibri"Page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C7C9"/>
    <pageSetUpPr fitToPage="tru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30" zoomScaleNormal="13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9.4453125" defaultRowHeight="15" customHeight="false" zeroHeight="false" outlineLevelRow="0" outlineLevelCol="0"/>
  <cols>
    <col collapsed="false" customWidth="true" hidden="false" outlineLevel="0" max="1" min="1" style="15" width="30.47"/>
    <col collapsed="false" customWidth="true" hidden="false" outlineLevel="0" max="2" min="2" style="15" width="28.3"/>
    <col collapsed="false" customWidth="true" hidden="false" outlineLevel="0" max="3" min="3" style="15" width="23.94"/>
    <col collapsed="false" customWidth="true" hidden="false" outlineLevel="0" max="4" min="4" style="15" width="19.59"/>
    <col collapsed="false" customWidth="true" hidden="false" outlineLevel="0" max="5" min="5" style="15" width="15.22"/>
    <col collapsed="false" customWidth="true" hidden="false" outlineLevel="0" max="6" min="6" style="15" width="19.59"/>
  </cols>
  <sheetData>
    <row r="1" customFormat="false" ht="25.5" hidden="false" customHeight="true" outlineLevel="0" collapsed="false">
      <c r="A1" s="21" t="s">
        <v>63</v>
      </c>
      <c r="B1" s="21"/>
      <c r="C1" s="21"/>
      <c r="D1" s="21"/>
      <c r="E1" s="21"/>
    </row>
    <row r="2" customFormat="false" ht="15" hidden="false" customHeight="true" outlineLevel="0" collapsed="false">
      <c r="A2" s="22" t="s">
        <v>64</v>
      </c>
      <c r="B2" s="22"/>
      <c r="C2" s="22"/>
      <c r="D2" s="22"/>
      <c r="E2" s="22"/>
    </row>
    <row r="4" customFormat="false" ht="15" hidden="false" customHeight="true" outlineLevel="0" collapsed="false">
      <c r="A4" s="3" t="s">
        <v>3</v>
      </c>
      <c r="B4" s="3" t="s">
        <v>65</v>
      </c>
    </row>
    <row r="5" customFormat="false" ht="15" hidden="false" customHeight="true" outlineLevel="0" collapsed="false">
      <c r="A5" s="4" t="s">
        <v>66</v>
      </c>
      <c r="B5" s="23" t="n">
        <v>0.1</v>
      </c>
      <c r="C5" s="24" t="s">
        <v>67</v>
      </c>
    </row>
    <row r="7" customFormat="false" ht="30" hidden="false" customHeight="true" outlineLevel="0" collapsed="false">
      <c r="A7" s="3" t="s">
        <v>68</v>
      </c>
      <c r="B7" s="3" t="s">
        <v>69</v>
      </c>
      <c r="C7" s="3" t="s">
        <v>70</v>
      </c>
      <c r="D7" s="3" t="s">
        <v>71</v>
      </c>
      <c r="E7" s="3" t="s">
        <v>72</v>
      </c>
    </row>
    <row r="8" customFormat="false" ht="15" hidden="false" customHeight="true" outlineLevel="0" collapsed="false">
      <c r="A8" s="25" t="s">
        <v>73</v>
      </c>
      <c r="B8" s="26" t="n">
        <v>310</v>
      </c>
      <c r="C8" s="26" t="n">
        <v>306</v>
      </c>
      <c r="D8" s="27" t="n">
        <f aca="false">B8-C8</f>
        <v>4</v>
      </c>
      <c r="E8" s="28" t="n">
        <f aca="false">IF(C8=0,"",D8/C8)</f>
        <v>0.0130718954248366</v>
      </c>
    </row>
    <row r="9" customFormat="false" ht="15" hidden="false" customHeight="true" outlineLevel="0" collapsed="false">
      <c r="A9" s="29" t="s">
        <v>74</v>
      </c>
      <c r="B9" s="26" t="n">
        <v>21000</v>
      </c>
      <c r="C9" s="26" t="n">
        <v>20832</v>
      </c>
      <c r="D9" s="27" t="n">
        <f aca="false">B9-C9</f>
        <v>168</v>
      </c>
      <c r="E9" s="28" t="n">
        <f aca="false">IF(C9=0,"",D9/C9)</f>
        <v>0.00806451612903226</v>
      </c>
    </row>
    <row r="11" customFormat="false" ht="31.5" hidden="false" customHeight="true" outlineLevel="0" collapsed="false">
      <c r="A11" s="2" t="s">
        <v>75</v>
      </c>
      <c r="B11" s="2"/>
      <c r="C11" s="2"/>
      <c r="D11" s="2"/>
      <c r="E11" s="2"/>
    </row>
    <row r="12" customFormat="false" ht="11.25" hidden="false" customHeight="true" outlineLevel="0" collapsed="false">
      <c r="A12" s="22" t="s">
        <v>76</v>
      </c>
      <c r="B12" s="22"/>
      <c r="C12" s="22"/>
      <c r="D12" s="22"/>
      <c r="E12" s="22"/>
    </row>
  </sheetData>
  <autoFilter ref="A7:E9"/>
  <mergeCells count="4">
    <mergeCell ref="A1:E1"/>
    <mergeCell ref="A2:E2"/>
    <mergeCell ref="A11:E11"/>
    <mergeCell ref="A12:E12"/>
  </mergeCells>
  <conditionalFormatting sqref="E8:E9">
    <cfRule type="expression" priority="2" aboveAverage="0" equalAverage="0" bottom="0" percent="0" rank="0" text="" dxfId="9">
      <formula>ABS(E8)&gt;=0.05</formula>
    </cfRule>
  </conditionalFormatting>
  <printOptions headings="false" gridLines="false" gridLinesSet="true" horizontalCentered="false" verticalCentered="false"/>
  <pageMargins left="0.6" right="0.6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&amp;L&amp;"Calibri"Tsuii's  レート</oddHeader>
    <oddFooter>&amp;R&amp;"Calibri"入力は黄色  /  販売は手入力レート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7340"/>
    <pageSetUpPr fitToPage="tru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9.4453125" defaultRowHeight="15" customHeight="false" zeroHeight="false" outlineLevelRow="0" outlineLevelCol="0"/>
  <cols>
    <col collapsed="false" customWidth="true" hidden="false" outlineLevel="0" max="1" min="1" style="15" width="15.22"/>
    <col collapsed="false" customWidth="true" hidden="false" outlineLevel="0" max="2" min="2" style="15" width="37"/>
    <col collapsed="false" customWidth="true" hidden="false" outlineLevel="0" max="3" min="3" style="15" width="15.22"/>
    <col collapsed="false" customWidth="true" hidden="false" outlineLevel="0" max="5" min="4" style="15" width="13.06"/>
    <col collapsed="false" customWidth="true" hidden="false" outlineLevel="0" max="6" min="6" style="15" width="15.22"/>
    <col collapsed="false" customWidth="true" hidden="false" outlineLevel="0" max="7" min="7" style="15" width="21.78"/>
    <col collapsed="false" customWidth="true" hidden="false" outlineLevel="0" max="10" min="8" style="15" width="17.41"/>
    <col collapsed="false" customWidth="true" hidden="false" outlineLevel="0" max="11" min="11" style="15" width="52.24"/>
  </cols>
  <sheetData>
    <row r="1" customFormat="false" ht="19.5" hidden="false" customHeight="true" outlineLevel="0" collapsed="false">
      <c r="A1" s="30" t="s">
        <v>77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customFormat="false" ht="11.25" hidden="false" customHeight="true" outlineLevel="0" collapsed="false">
      <c r="A2" s="22" t="s">
        <v>78</v>
      </c>
      <c r="B2" s="22"/>
      <c r="C2" s="22"/>
      <c r="D2" s="22"/>
      <c r="E2" s="22"/>
      <c r="F2" s="22"/>
      <c r="G2" s="22"/>
      <c r="H2" s="22"/>
      <c r="I2" s="22"/>
      <c r="J2" s="22"/>
      <c r="K2" s="22"/>
    </row>
    <row r="3" customFormat="false" ht="31.5" hidden="false" customHeight="true" outlineLevel="0" collapsed="false">
      <c r="A3" s="3" t="s">
        <v>79</v>
      </c>
      <c r="B3" s="3" t="s">
        <v>80</v>
      </c>
      <c r="C3" s="3" t="s">
        <v>81</v>
      </c>
      <c r="D3" s="3" t="s">
        <v>68</v>
      </c>
      <c r="E3" s="3" t="s">
        <v>82</v>
      </c>
      <c r="F3" s="3" t="s">
        <v>83</v>
      </c>
      <c r="G3" s="3" t="s">
        <v>84</v>
      </c>
      <c r="H3" s="3" t="s">
        <v>85</v>
      </c>
      <c r="I3" s="3" t="s">
        <v>86</v>
      </c>
      <c r="J3" s="3" t="s">
        <v>87</v>
      </c>
      <c r="K3" s="3" t="s">
        <v>7</v>
      </c>
    </row>
    <row r="4" customFormat="false" ht="21.75" hidden="false" customHeight="true" outlineLevel="0" collapsed="false">
      <c r="A4" s="31" t="s">
        <v>88</v>
      </c>
      <c r="B4" s="5" t="s">
        <v>89</v>
      </c>
      <c r="C4" s="32" t="s">
        <v>90</v>
      </c>
      <c r="D4" s="33" t="s">
        <v>73</v>
      </c>
      <c r="E4" s="34" t="n">
        <v>28</v>
      </c>
      <c r="F4" s="26" t="n">
        <v>12000</v>
      </c>
      <c r="G4" s="35" t="n">
        <f aca="false">IF(D4="ゴールド",レート!$B$9,レート!$B$8)</f>
        <v>310</v>
      </c>
      <c r="H4" s="36" t="n">
        <f aca="false">E4*G4</f>
        <v>8680</v>
      </c>
      <c r="I4" s="36" t="n">
        <f aca="false">H4+F4</f>
        <v>20680</v>
      </c>
      <c r="J4" s="36" t="n">
        <f aca="false">ROUND(I4*(1+レート!$B$5),0)</f>
        <v>22748</v>
      </c>
      <c r="K4" s="5" t="s">
        <v>91</v>
      </c>
    </row>
    <row r="5" customFormat="false" ht="21.75" hidden="false" customHeight="true" outlineLevel="0" collapsed="false">
      <c r="A5" s="31" t="s">
        <v>92</v>
      </c>
      <c r="B5" s="5" t="s">
        <v>93</v>
      </c>
      <c r="C5" s="32" t="s">
        <v>94</v>
      </c>
      <c r="D5" s="33" t="s">
        <v>73</v>
      </c>
      <c r="E5" s="34" t="n">
        <v>8.5</v>
      </c>
      <c r="F5" s="26" t="n">
        <v>8000</v>
      </c>
      <c r="G5" s="35" t="n">
        <f aca="false">IF(D5="ゴールド",レート!$B$9,レート!$B$8)</f>
        <v>310</v>
      </c>
      <c r="H5" s="36" t="n">
        <f aca="false">E5*G5</f>
        <v>2635</v>
      </c>
      <c r="I5" s="36" t="n">
        <f aca="false">H5+F5</f>
        <v>10635</v>
      </c>
      <c r="J5" s="36" t="n">
        <f aca="false">ROUND(I5*(1+レート!$B$5),0)</f>
        <v>11699</v>
      </c>
      <c r="K5" s="5" t="s">
        <v>95</v>
      </c>
    </row>
    <row r="6" customFormat="false" ht="21.75" hidden="false" customHeight="true" outlineLevel="0" collapsed="false">
      <c r="A6" s="31" t="s">
        <v>96</v>
      </c>
      <c r="B6" s="5" t="s">
        <v>97</v>
      </c>
      <c r="C6" s="32" t="s">
        <v>98</v>
      </c>
      <c r="D6" s="33" t="s">
        <v>73</v>
      </c>
      <c r="E6" s="34" t="n">
        <v>6</v>
      </c>
      <c r="F6" s="26" t="n">
        <v>9000</v>
      </c>
      <c r="G6" s="35" t="n">
        <f aca="false">IF(D6="ゴールド",レート!$B$9,レート!$B$8)</f>
        <v>310</v>
      </c>
      <c r="H6" s="36" t="n">
        <f aca="false">E6*G6</f>
        <v>1860</v>
      </c>
      <c r="I6" s="36" t="n">
        <f aca="false">H6+F6</f>
        <v>10860</v>
      </c>
      <c r="J6" s="36" t="n">
        <f aca="false">ROUND(I6*(1+レート!$B$5),0)</f>
        <v>11946</v>
      </c>
      <c r="K6" s="5" t="s">
        <v>99</v>
      </c>
    </row>
    <row r="7" customFormat="false" ht="21.75" hidden="false" customHeight="true" outlineLevel="0" collapsed="false">
      <c r="A7" s="31" t="s">
        <v>100</v>
      </c>
      <c r="B7" s="5" t="s">
        <v>101</v>
      </c>
      <c r="C7" s="32" t="s">
        <v>10</v>
      </c>
      <c r="D7" s="33" t="s">
        <v>73</v>
      </c>
      <c r="E7" s="34" t="n">
        <v>22</v>
      </c>
      <c r="F7" s="26" t="n">
        <v>15000</v>
      </c>
      <c r="G7" s="35" t="n">
        <f aca="false">IF(D7="ゴールド",レート!$B$9,レート!$B$8)</f>
        <v>310</v>
      </c>
      <c r="H7" s="36" t="n">
        <f aca="false">E7*G7</f>
        <v>6820</v>
      </c>
      <c r="I7" s="36" t="n">
        <f aca="false">H7+F7</f>
        <v>21820</v>
      </c>
      <c r="J7" s="36" t="n">
        <f aca="false">ROUND(I7*(1+レート!$B$5),0)</f>
        <v>24002</v>
      </c>
      <c r="K7" s="5" t="s">
        <v>102</v>
      </c>
    </row>
    <row r="8" customFormat="false" ht="21.75" hidden="false" customHeight="true" outlineLevel="0" collapsed="false">
      <c r="A8" s="31" t="s">
        <v>103</v>
      </c>
      <c r="B8" s="5" t="s">
        <v>104</v>
      </c>
      <c r="C8" s="32" t="s">
        <v>105</v>
      </c>
      <c r="D8" s="37" t="s">
        <v>74</v>
      </c>
      <c r="E8" s="34" t="n">
        <v>3.2</v>
      </c>
      <c r="F8" s="26" t="n">
        <v>18000</v>
      </c>
      <c r="G8" s="35" t="n">
        <f aca="false">IF(D8="ゴールド",レート!$B$9,レート!$B$8)</f>
        <v>21000</v>
      </c>
      <c r="H8" s="36" t="n">
        <f aca="false">E8*G8</f>
        <v>67200</v>
      </c>
      <c r="I8" s="36" t="n">
        <f aca="false">H8+F8</f>
        <v>85200</v>
      </c>
      <c r="J8" s="36" t="n">
        <f aca="false">ROUND(I8*(1+レート!$B$5),0)</f>
        <v>93720</v>
      </c>
      <c r="K8" s="5" t="s">
        <v>106</v>
      </c>
    </row>
    <row r="9" customFormat="false" ht="21.75" hidden="false" customHeight="true" outlineLevel="0" collapsed="false">
      <c r="A9" s="31" t="s">
        <v>107</v>
      </c>
      <c r="B9" s="5" t="s">
        <v>108</v>
      </c>
      <c r="C9" s="32" t="s">
        <v>94</v>
      </c>
      <c r="D9" s="37" t="s">
        <v>74</v>
      </c>
      <c r="E9" s="34" t="n">
        <v>4.5</v>
      </c>
      <c r="F9" s="26" t="n">
        <v>22000</v>
      </c>
      <c r="G9" s="35" t="n">
        <f aca="false">IF(D9="ゴールド",レート!$B$9,レート!$B$8)</f>
        <v>21000</v>
      </c>
      <c r="H9" s="36" t="n">
        <f aca="false">E9*G9</f>
        <v>94500</v>
      </c>
      <c r="I9" s="36" t="n">
        <f aca="false">H9+F9</f>
        <v>116500</v>
      </c>
      <c r="J9" s="36" t="n">
        <f aca="false">ROUND(I9*(1+レート!$B$5),0)</f>
        <v>128150</v>
      </c>
      <c r="K9" s="5" t="s">
        <v>109</v>
      </c>
    </row>
    <row r="10" customFormat="false" ht="21.75" hidden="false" customHeight="true" outlineLevel="0" collapsed="false">
      <c r="A10" s="31" t="s">
        <v>110</v>
      </c>
      <c r="B10" s="5" t="s">
        <v>111</v>
      </c>
      <c r="C10" s="32" t="s">
        <v>112</v>
      </c>
      <c r="D10" s="33" t="s">
        <v>73</v>
      </c>
      <c r="E10" s="34" t="n">
        <v>5.5</v>
      </c>
      <c r="F10" s="26" t="n">
        <v>7000</v>
      </c>
      <c r="G10" s="35" t="n">
        <f aca="false">IF(D10="ゴールド",レート!$B$9,レート!$B$8)</f>
        <v>310</v>
      </c>
      <c r="H10" s="36" t="n">
        <f aca="false">E10*G10</f>
        <v>1705</v>
      </c>
      <c r="I10" s="36" t="n">
        <f aca="false">H10+F10</f>
        <v>8705</v>
      </c>
      <c r="J10" s="36" t="n">
        <f aca="false">ROUND(I10*(1+レート!$B$5),0)</f>
        <v>9576</v>
      </c>
      <c r="K10" s="5" t="s">
        <v>113</v>
      </c>
    </row>
    <row r="11" customFormat="false" ht="21.75" hidden="false" customHeight="true" outlineLevel="0" collapsed="false">
      <c r="A11" s="31" t="s">
        <v>114</v>
      </c>
      <c r="B11" s="5" t="s">
        <v>115</v>
      </c>
      <c r="C11" s="32" t="s">
        <v>112</v>
      </c>
      <c r="D11" s="37" t="s">
        <v>74</v>
      </c>
      <c r="E11" s="34" t="n">
        <v>2</v>
      </c>
      <c r="F11" s="26" t="n">
        <v>10000</v>
      </c>
      <c r="G11" s="35" t="n">
        <f aca="false">IF(D11="ゴールド",レート!$B$9,レート!$B$8)</f>
        <v>21000</v>
      </c>
      <c r="H11" s="36" t="n">
        <f aca="false">E11*G11</f>
        <v>42000</v>
      </c>
      <c r="I11" s="36" t="n">
        <f aca="false">H11+F11</f>
        <v>52000</v>
      </c>
      <c r="J11" s="36" t="n">
        <f aca="false">ROUND(I11*(1+レート!$B$5),0)</f>
        <v>57200</v>
      </c>
      <c r="K11" s="5" t="s">
        <v>116</v>
      </c>
    </row>
    <row r="13" customFormat="false" ht="15" hidden="false" customHeight="true" outlineLevel="0" collapsed="false">
      <c r="I13" s="38" t="s">
        <v>117</v>
      </c>
      <c r="J13" s="36" t="n">
        <f aca="false">SUM(J4:J11)</f>
        <v>359041</v>
      </c>
      <c r="K13" s="24" t="s">
        <v>118</v>
      </c>
    </row>
  </sheetData>
  <autoFilter ref="A3:K11"/>
  <mergeCells count="2">
    <mergeCell ref="A1:K1"/>
    <mergeCell ref="A2:K2"/>
  </mergeCells>
  <dataValidations count="2">
    <dataValidation allowBlank="false" error="シルバー または ゴールド を選んでください" errorStyle="stop" errorTitle="地金" operator="between" showDropDown="false" showErrorMessage="false" showInputMessage="false" sqref="D4:D20" type="list">
      <formula1>"シルバー,ゴールド"</formula1>
      <formula2>0</formula2>
    </dataValidation>
    <dataValidation allowBlank="false" errorStyle="stop" operator="between" showDropDown="false" showErrorMessage="false" showInputMessage="false" sqref="C4:C20" type="list">
      <formula1>"リング,バングル,ネックレス,ピアス,ペンダント,コラボ"</formula1>
      <formula2>0</formula2>
    </dataValidation>
  </dataValidations>
  <printOptions headings="false" gridLines="false" gridLinesSet="true" horizontalCentered="false" verticalCentered="false"/>
  <pageMargins left="0.5" right="0.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&amp;L&amp;"Calibri"Tsuii's  商品</oddHeader>
    <oddFooter>&amp;L&amp;"Calibri"税込 = ROUND(税抜 × (1 + レート!消費税率), 0)&amp;R&amp;"Calibri"サンプル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D9094"/>
    <pageSetUpPr fitToPage="tru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9.4453125" defaultRowHeight="15" customHeight="false" zeroHeight="false" outlineLevelRow="0" outlineLevelCol="0"/>
  <cols>
    <col collapsed="false" customWidth="true" hidden="false" outlineLevel="0" max="1" min="1" style="15" width="15.22"/>
    <col collapsed="false" customWidth="true" hidden="false" outlineLevel="0" max="2" min="2" style="15" width="37"/>
    <col collapsed="false" customWidth="true" hidden="false" outlineLevel="0" max="3" min="3" style="15" width="30.47"/>
    <col collapsed="false" customWidth="true" hidden="false" outlineLevel="0" max="5" min="4" style="15" width="17.41"/>
    <col collapsed="false" customWidth="true" hidden="false" outlineLevel="0" max="6" min="6" style="15" width="13.06"/>
    <col collapsed="false" customWidth="true" hidden="false" outlineLevel="0" max="7" min="7" style="15" width="21.78"/>
    <col collapsed="false" customWidth="true" hidden="false" outlineLevel="0" max="9" min="8" style="15" width="15.22"/>
  </cols>
  <sheetData>
    <row r="1" customFormat="false" ht="19.5" hidden="false" customHeight="true" outlineLevel="0" collapsed="false">
      <c r="A1" s="30" t="s">
        <v>119</v>
      </c>
      <c r="B1" s="30"/>
      <c r="C1" s="30"/>
      <c r="D1" s="30"/>
      <c r="E1" s="30"/>
      <c r="F1" s="30"/>
      <c r="G1" s="30"/>
      <c r="H1" s="30"/>
      <c r="I1" s="30"/>
    </row>
    <row r="2" customFormat="false" ht="31.5" hidden="false" customHeight="true" outlineLevel="0" collapsed="false">
      <c r="A2" s="22" t="s">
        <v>120</v>
      </c>
      <c r="B2" s="22"/>
      <c r="C2" s="22"/>
      <c r="D2" s="22"/>
      <c r="E2" s="22"/>
      <c r="F2" s="22"/>
      <c r="G2" s="22"/>
      <c r="H2" s="22"/>
      <c r="I2" s="22"/>
    </row>
    <row r="3" customFormat="false" ht="31.5" hidden="false" customHeight="true" outlineLevel="0" collapsed="false">
      <c r="A3" s="3" t="s">
        <v>79</v>
      </c>
      <c r="B3" s="3" t="s">
        <v>80</v>
      </c>
      <c r="C3" s="3" t="s">
        <v>121</v>
      </c>
      <c r="D3" s="3" t="s">
        <v>122</v>
      </c>
      <c r="E3" s="3" t="s">
        <v>123</v>
      </c>
      <c r="F3" s="3" t="s">
        <v>68</v>
      </c>
      <c r="G3" s="3" t="s">
        <v>84</v>
      </c>
      <c r="H3" s="3" t="s">
        <v>124</v>
      </c>
      <c r="I3" s="3" t="s">
        <v>125</v>
      </c>
    </row>
    <row r="4" customFormat="false" ht="21.75" hidden="false" customHeight="true" outlineLevel="0" collapsed="false">
      <c r="A4" s="31" t="s">
        <v>88</v>
      </c>
      <c r="B4" s="39" t="str">
        <f aca="false">IF(A4="","",INDEX(商品!$B$4:$B$11,MATCH(A4,商品!$A$4:$A$11,0)))</f>
        <v>バングル「月輪」</v>
      </c>
      <c r="C4" s="5" t="s">
        <v>126</v>
      </c>
      <c r="D4" s="34" t="n">
        <v>0</v>
      </c>
      <c r="E4" s="26" t="n">
        <v>2500</v>
      </c>
      <c r="F4" s="40" t="str">
        <f aca="false">IF(A4="","",INDEX(商品!$D$4:$D$11,MATCH(A4,商品!$A$4:$A$11,0)))</f>
        <v>シルバー</v>
      </c>
      <c r="G4" s="35" t="n">
        <f aca="false">IF(F4="","",IF(F4="ゴールド",レート!$B$9,レート!$B$8))</f>
        <v>310</v>
      </c>
      <c r="H4" s="36" t="n">
        <f aca="false">IF(A4="","",D4*G4+E4)</f>
        <v>2500</v>
      </c>
      <c r="I4" s="36" t="n">
        <f aca="false">IF(A4="","",ROUND(H4*(1+レート!$B$5),0))</f>
        <v>2750</v>
      </c>
    </row>
    <row r="5" customFormat="false" ht="21.75" hidden="false" customHeight="true" outlineLevel="0" collapsed="false">
      <c r="A5" s="31" t="s">
        <v>88</v>
      </c>
      <c r="B5" s="39" t="str">
        <f aca="false">IF(A5="","",INDEX(商品!$B$4:$B$11,MATCH(A5,商品!$A$4:$A$11,0)))</f>
        <v>バングル「月輪」</v>
      </c>
      <c r="C5" s="5" t="s">
        <v>127</v>
      </c>
      <c r="D5" s="34" t="n">
        <v>0</v>
      </c>
      <c r="E5" s="26" t="n">
        <v>1500</v>
      </c>
      <c r="F5" s="40" t="str">
        <f aca="false">IF(A5="","",INDEX(商品!$D$4:$D$11,MATCH(A5,商品!$A$4:$A$11,0)))</f>
        <v>シルバー</v>
      </c>
      <c r="G5" s="35" t="n">
        <f aca="false">IF(F5="","",IF(F5="ゴールド",レート!$B$9,レート!$B$8))</f>
        <v>310</v>
      </c>
      <c r="H5" s="36" t="n">
        <f aca="false">IF(A5="","",D5*G5+E5)</f>
        <v>1500</v>
      </c>
      <c r="I5" s="36" t="n">
        <f aca="false">IF(A5="","",ROUND(H5*(1+レート!$B$5),0))</f>
        <v>1650</v>
      </c>
    </row>
    <row r="6" customFormat="false" ht="21.75" hidden="false" customHeight="true" outlineLevel="0" collapsed="false">
      <c r="A6" s="31" t="s">
        <v>92</v>
      </c>
      <c r="B6" s="39" t="str">
        <f aca="false">IF(A6="","",INDEX(商品!$B$4:$B$11,MATCH(A6,商品!$A$4:$A$11,0)))</f>
        <v>リング「孔雀」</v>
      </c>
      <c r="C6" s="5" t="s">
        <v>128</v>
      </c>
      <c r="D6" s="34" t="n">
        <v>0</v>
      </c>
      <c r="E6" s="26" t="n">
        <v>4000</v>
      </c>
      <c r="F6" s="40" t="str">
        <f aca="false">IF(A6="","",INDEX(商品!$D$4:$D$11,MATCH(A6,商品!$A$4:$A$11,0)))</f>
        <v>シルバー</v>
      </c>
      <c r="G6" s="35" t="n">
        <f aca="false">IF(F6="","",IF(F6="ゴールド",レート!$B$9,レート!$B$8))</f>
        <v>310</v>
      </c>
      <c r="H6" s="36" t="n">
        <f aca="false">IF(A6="","",D6*G6+E6)</f>
        <v>4000</v>
      </c>
      <c r="I6" s="36" t="n">
        <f aca="false">IF(A6="","",ROUND(H6*(1+レート!$B$5),0))</f>
        <v>4400</v>
      </c>
    </row>
    <row r="7" customFormat="false" ht="21.75" hidden="false" customHeight="true" outlineLevel="0" collapsed="false">
      <c r="A7" s="31" t="s">
        <v>96</v>
      </c>
      <c r="B7" s="39" t="str">
        <f aca="false">IF(A7="","",INDEX(商品!$B$4:$B$11,MATCH(A7,商品!$A$4:$A$11,0)))</f>
        <v>ピアス「ジュムカ」</v>
      </c>
      <c r="C7" s="5" t="s">
        <v>129</v>
      </c>
      <c r="D7" s="34" t="n">
        <v>0</v>
      </c>
      <c r="E7" s="26" t="n">
        <v>800</v>
      </c>
      <c r="F7" s="40" t="str">
        <f aca="false">IF(A7="","",INDEX(商品!$D$4:$D$11,MATCH(A7,商品!$A$4:$A$11,0)))</f>
        <v>シルバー</v>
      </c>
      <c r="G7" s="35" t="n">
        <f aca="false">IF(F7="","",IF(F7="ゴールド",レート!$B$9,レート!$B$8))</f>
        <v>310</v>
      </c>
      <c r="H7" s="36" t="n">
        <f aca="false">IF(A7="","",D7*G7+E7)</f>
        <v>800</v>
      </c>
      <c r="I7" s="36" t="n">
        <f aca="false">IF(A7="","",ROUND(H7*(1+レート!$B$5),0))</f>
        <v>880</v>
      </c>
    </row>
    <row r="8" customFormat="false" ht="21.75" hidden="false" customHeight="true" outlineLevel="0" collapsed="false">
      <c r="A8" s="31" t="s">
        <v>100</v>
      </c>
      <c r="B8" s="39" t="str">
        <f aca="false">IF(A8="","",INDEX(商品!$B$4:$B$11,MATCH(A8,商品!$A$4:$A$11,0)))</f>
        <v>ネックレス「星屑」</v>
      </c>
      <c r="C8" s="5" t="s">
        <v>130</v>
      </c>
      <c r="D8" s="34" t="n">
        <v>1.2</v>
      </c>
      <c r="E8" s="26" t="n">
        <v>0</v>
      </c>
      <c r="F8" s="40" t="str">
        <f aca="false">IF(A8="","",INDEX(商品!$D$4:$D$11,MATCH(A8,商品!$A$4:$A$11,0)))</f>
        <v>シルバー</v>
      </c>
      <c r="G8" s="35" t="n">
        <f aca="false">IF(F8="","",IF(F8="ゴールド",レート!$B$9,レート!$B$8))</f>
        <v>310</v>
      </c>
      <c r="H8" s="36" t="n">
        <f aca="false">IF(A8="","",D8*G8+E8)</f>
        <v>372</v>
      </c>
      <c r="I8" s="36" t="n">
        <f aca="false">IF(A8="","",ROUND(H8*(1+レート!$B$5),0))</f>
        <v>409</v>
      </c>
    </row>
    <row r="9" customFormat="false" ht="21.75" hidden="false" customHeight="true" outlineLevel="0" collapsed="false">
      <c r="A9" s="31" t="s">
        <v>103</v>
      </c>
      <c r="B9" s="39" t="str">
        <f aca="false">IF(A9="","",INDEX(商品!$B$4:$B$11,MATCH(A9,商品!$A$4:$A$11,0)))</f>
        <v>ペンダント「陽だまり」</v>
      </c>
      <c r="C9" s="5" t="s">
        <v>131</v>
      </c>
      <c r="D9" s="34" t="n">
        <v>2</v>
      </c>
      <c r="E9" s="26" t="n">
        <v>4000</v>
      </c>
      <c r="F9" s="40" t="str">
        <f aca="false">IF(A9="","",INDEX(商品!$D$4:$D$11,MATCH(A9,商品!$A$4:$A$11,0)))</f>
        <v>ゴールド</v>
      </c>
      <c r="G9" s="35" t="n">
        <f aca="false">IF(F9="","",IF(F9="ゴールド",レート!$B$9,レート!$B$8))</f>
        <v>21000</v>
      </c>
      <c r="H9" s="36" t="n">
        <f aca="false">IF(A9="","",D9*G9+E9)</f>
        <v>46000</v>
      </c>
      <c r="I9" s="36" t="n">
        <f aca="false">IF(A9="","",ROUND(H9*(1+レート!$B$5),0))</f>
        <v>50600</v>
      </c>
    </row>
    <row r="10" customFormat="false" ht="21.75" hidden="false" customHeight="true" outlineLevel="0" collapsed="false">
      <c r="A10" s="31" t="s">
        <v>103</v>
      </c>
      <c r="B10" s="39" t="str">
        <f aca="false">IF(A10="","",INDEX(商品!$B$4:$B$11,MATCH(A10,商品!$A$4:$A$11,0)))</f>
        <v>ペンダント「陽だまり」</v>
      </c>
      <c r="C10" s="5" t="s">
        <v>132</v>
      </c>
      <c r="D10" s="34" t="n">
        <v>0</v>
      </c>
      <c r="E10" s="26" t="n">
        <v>6000</v>
      </c>
      <c r="F10" s="40" t="str">
        <f aca="false">IF(A10="","",INDEX(商品!$D$4:$D$11,MATCH(A10,商品!$A$4:$A$11,0)))</f>
        <v>ゴールド</v>
      </c>
      <c r="G10" s="35" t="n">
        <f aca="false">IF(F10="","",IF(F10="ゴールド",レート!$B$9,レート!$B$8))</f>
        <v>21000</v>
      </c>
      <c r="H10" s="36" t="n">
        <f aca="false">IF(A10="","",D10*G10+E10)</f>
        <v>6000</v>
      </c>
      <c r="I10" s="36" t="n">
        <f aca="false">IF(A10="","",ROUND(H10*(1+レート!$B$5),0))</f>
        <v>6600</v>
      </c>
    </row>
    <row r="11" customFormat="false" ht="21.75" hidden="false" customHeight="true" outlineLevel="0" collapsed="false">
      <c r="A11" s="31" t="s">
        <v>107</v>
      </c>
      <c r="B11" s="39" t="str">
        <f aca="false">IF(A11="","",INDEX(商品!$B$4:$B$11,MATCH(A11,商品!$A$4:$A$11,0)))</f>
        <v>リング「蓮」</v>
      </c>
      <c r="C11" s="5" t="s">
        <v>133</v>
      </c>
      <c r="D11" s="34" t="n">
        <v>0</v>
      </c>
      <c r="E11" s="26" t="n">
        <v>3000</v>
      </c>
      <c r="F11" s="40" t="str">
        <f aca="false">IF(A11="","",INDEX(商品!$D$4:$D$11,MATCH(A11,商品!$A$4:$A$11,0)))</f>
        <v>ゴールド</v>
      </c>
      <c r="G11" s="35" t="n">
        <f aca="false">IF(F11="","",IF(F11="ゴールド",レート!$B$9,レート!$B$8))</f>
        <v>21000</v>
      </c>
      <c r="H11" s="36" t="n">
        <f aca="false">IF(A11="","",D11*G11+E11)</f>
        <v>3000</v>
      </c>
      <c r="I11" s="36" t="n">
        <f aca="false">IF(A11="","",ROUND(H11*(1+レート!$B$5),0))</f>
        <v>3300</v>
      </c>
    </row>
    <row r="12" customFormat="false" ht="21.75" hidden="false" customHeight="true" outlineLevel="0" collapsed="false">
      <c r="A12" s="31" t="s">
        <v>110</v>
      </c>
      <c r="B12" s="39" t="str">
        <f aca="false">IF(A12="","",INDEX(商品!$B$4:$B$11,MATCH(A12,商品!$A$4:$A$11,0)))</f>
        <v>シルバーパーツ（ARCANA）</v>
      </c>
      <c r="C12" s="5" t="s">
        <v>134</v>
      </c>
      <c r="D12" s="34" t="n">
        <v>0</v>
      </c>
      <c r="E12" s="26" t="n">
        <v>2000</v>
      </c>
      <c r="F12" s="40" t="str">
        <f aca="false">IF(A12="","",INDEX(商品!$D$4:$D$11,MATCH(A12,商品!$A$4:$A$11,0)))</f>
        <v>シルバー</v>
      </c>
      <c r="G12" s="35" t="n">
        <f aca="false">IF(F12="","",IF(F12="ゴールド",レート!$B$9,レート!$B$8))</f>
        <v>310</v>
      </c>
      <c r="H12" s="36" t="n">
        <f aca="false">IF(A12="","",D12*G12+E12)</f>
        <v>2000</v>
      </c>
      <c r="I12" s="36" t="n">
        <f aca="false">IF(A12="","",ROUND(H12*(1+レート!$B$5),0))</f>
        <v>2200</v>
      </c>
    </row>
    <row r="13" customFormat="false" ht="21.75" hidden="false" customHeight="true" outlineLevel="0" collapsed="false">
      <c r="A13" s="31" t="s">
        <v>114</v>
      </c>
      <c r="B13" s="39" t="str">
        <f aca="false">IF(A13="","",INDEX(商品!$B$4:$B$11,MATCH(A13,商品!$A$4:$A$11,0)))</f>
        <v>ゴールドチャーム（Forty Niners）</v>
      </c>
      <c r="C13" s="5" t="s">
        <v>135</v>
      </c>
      <c r="D13" s="34" t="n">
        <v>0</v>
      </c>
      <c r="E13" s="26" t="n">
        <v>2000</v>
      </c>
      <c r="F13" s="40" t="str">
        <f aca="false">IF(A13="","",INDEX(商品!$D$4:$D$11,MATCH(A13,商品!$A$4:$A$11,0)))</f>
        <v>ゴールド</v>
      </c>
      <c r="G13" s="35" t="n">
        <f aca="false">IF(F13="","",IF(F13="ゴールド",レート!$B$9,レート!$B$8))</f>
        <v>21000</v>
      </c>
      <c r="H13" s="36" t="n">
        <f aca="false">IF(A13="","",D13*G13+E13)</f>
        <v>2000</v>
      </c>
      <c r="I13" s="36" t="n">
        <f aca="false">IF(A13="","",ROUND(H13*(1+レート!$B$5),0))</f>
        <v>2200</v>
      </c>
    </row>
  </sheetData>
  <autoFilter ref="A3:I13"/>
  <mergeCells count="2">
    <mergeCell ref="A1:I1"/>
    <mergeCell ref="A2:I2"/>
  </mergeCells>
  <printOptions headings="false" gridLines="false" gridLinesSet="true" horizontalCentered="false" verticalCentered="false"/>
  <pageMargins left="0.5" right="0.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&amp;L&amp;"Calibri"Tsuii's  オプション</oddHeader>
    <oddFooter>&amp;R&amp;"Calibri"カスタム項目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2026-09-29T05:20:37Z</dcterms:created>
  <dc:creator>Tsuii's draft</dc:creator>
  <dc:description/>
  <dc:language>ja-JP</dc:language>
  <cp:lastModifiedBy/>
  <dcterms:modified xsi:type="dcterms:W3CDTF">2026-10-06T01:14:55Z</dcterms:modified>
  <cp:revision>0</cp:revision>
  <dc:subject>Sample price list for Kaoru Mitsui</dc:subject>
  <dc:title>Tsuii's 価格表（下書き）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